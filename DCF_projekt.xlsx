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ita\Pulpit\NAUKA\EXCEL\"/>
    </mc:Choice>
  </mc:AlternateContent>
  <xr:revisionPtr revIDLastSave="0" documentId="13_ncr:1_{7E61356B-00F6-4F49-ABFC-6DD4D0167490}" xr6:coauthVersionLast="47" xr6:coauthVersionMax="47" xr10:uidLastSave="{00000000-0000-0000-0000-000000000000}"/>
  <workbookProtection lockStructure="1"/>
  <bookViews>
    <workbookView xWindow="-108" yWindow="-108" windowWidth="23256" windowHeight="12456" firstSheet="6" activeTab="6" xr2:uid="{6E78134C-8E46-487B-B71E-7D03C6A14818}"/>
  </bookViews>
  <sheets>
    <sheet name="NWC" sheetId="6" state="hidden" r:id="rId1"/>
    <sheet name="CF" sheetId="4" state="hidden" r:id="rId2"/>
    <sheet name="ETR" sheetId="9" state="hidden" r:id="rId3"/>
    <sheet name="RZiS" sheetId="2" state="hidden" r:id="rId4"/>
    <sheet name="RZIS_2" sheetId="12" state="hidden" r:id="rId5"/>
    <sheet name="Kd" sheetId="11" state="hidden" r:id="rId6"/>
    <sheet name="Summary" sheetId="15" r:id="rId7"/>
    <sheet name="Historicals" sheetId="1" r:id="rId8"/>
    <sheet name="Assumptions" sheetId="10" r:id="rId9"/>
    <sheet name="Forecast" sheetId="13" r:id="rId10"/>
    <sheet name="Valuation" sheetId="14" r:id="rId11"/>
  </sheets>
  <definedNames>
    <definedName name="ExternalData_1" localSheetId="3" hidden="1">RZiS!$A$1:$G$18</definedName>
    <definedName name="ExternalData_1" localSheetId="4" hidden="1">'RZIS_2'!$A$1:$F$88</definedName>
    <definedName name="ExternalData_2" localSheetId="1" hidden="1">CF!$A$1:$H$12</definedName>
    <definedName name="ExternalData_2" localSheetId="2" hidden="1">ETR!$A$1:$F$4</definedName>
    <definedName name="ExternalData_3" localSheetId="1" hidden="1">CF!$A$14:$H$25</definedName>
    <definedName name="ExternalData_5" localSheetId="0" hidden="1">NWC!$A$1:$G$6</definedName>
    <definedName name="_xlnm.Print_Area" localSheetId="7">Historicals!$A$2:$G$15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4" l="1"/>
  <c r="C29" i="15"/>
  <c r="C30" i="15"/>
  <c r="D30" i="15"/>
  <c r="G44" i="2"/>
  <c r="H42" i="2"/>
  <c r="D29" i="15" s="1"/>
  <c r="C8" i="15"/>
  <c r="C7" i="15"/>
  <c r="A50" i="14"/>
  <c r="B21" i="14"/>
  <c r="F14" i="13"/>
  <c r="E14" i="13"/>
  <c r="H28" i="11"/>
  <c r="H20" i="11"/>
  <c r="H15" i="11"/>
  <c r="B5" i="13"/>
  <c r="B17" i="13"/>
  <c r="B15" i="13"/>
  <c r="B13" i="13"/>
  <c r="B9" i="13"/>
  <c r="B8" i="13"/>
  <c r="B6" i="13"/>
  <c r="D16" i="13"/>
  <c r="E16" i="13"/>
  <c r="F16" i="13"/>
  <c r="G16" i="13"/>
  <c r="C16" i="13"/>
  <c r="D14" i="13"/>
  <c r="G14" i="13"/>
  <c r="C14" i="13"/>
  <c r="D12" i="13"/>
  <c r="E12" i="13"/>
  <c r="F12" i="13"/>
  <c r="G12" i="13"/>
  <c r="C12" i="13"/>
  <c r="D9" i="13"/>
  <c r="E9" i="13"/>
  <c r="F9" i="13"/>
  <c r="G9" i="13"/>
  <c r="C9" i="13"/>
  <c r="D7" i="13"/>
  <c r="E7" i="13"/>
  <c r="F7" i="13"/>
  <c r="G7" i="13"/>
  <c r="D9" i="15" s="1"/>
  <c r="C7" i="13"/>
  <c r="D5" i="13"/>
  <c r="E5" i="13"/>
  <c r="F5" i="13"/>
  <c r="G5" i="13"/>
  <c r="C5" i="13"/>
  <c r="B2" i="13"/>
  <c r="C14" i="14"/>
  <c r="B11" i="14"/>
  <c r="C11" i="14"/>
  <c r="D11" i="14"/>
  <c r="E11" i="14"/>
  <c r="F11" i="14"/>
  <c r="B12" i="14"/>
  <c r="C12" i="14"/>
  <c r="D12" i="14"/>
  <c r="E12" i="14"/>
  <c r="F12" i="14"/>
  <c r="C10" i="14"/>
  <c r="D10" i="14"/>
  <c r="E10" i="14"/>
  <c r="F10" i="14"/>
  <c r="B10" i="14"/>
  <c r="B5" i="14"/>
  <c r="B7" i="14" s="1"/>
  <c r="H22" i="11"/>
  <c r="C14" i="10"/>
  <c r="D14" i="10"/>
  <c r="D14" i="14" s="1"/>
  <c r="E14" i="10"/>
  <c r="E14" i="14" s="1"/>
  <c r="F14" i="10"/>
  <c r="F14" i="14" s="1"/>
  <c r="B14" i="10"/>
  <c r="B14" i="14" s="1"/>
  <c r="C24" i="11"/>
  <c r="D24" i="11"/>
  <c r="E24" i="11"/>
  <c r="F24" i="11"/>
  <c r="B24" i="11"/>
  <c r="F23" i="11"/>
  <c r="E23" i="11"/>
  <c r="D23" i="11"/>
  <c r="C23" i="11"/>
  <c r="B23" i="11"/>
  <c r="C22" i="11"/>
  <c r="D22" i="11"/>
  <c r="E22" i="11"/>
  <c r="F22" i="11"/>
  <c r="B22" i="11"/>
  <c r="C20" i="11"/>
  <c r="D20" i="11"/>
  <c r="E20" i="11"/>
  <c r="F20" i="11"/>
  <c r="B20" i="11"/>
  <c r="C15" i="11"/>
  <c r="D15" i="11"/>
  <c r="E15" i="11"/>
  <c r="F15" i="11"/>
  <c r="B15" i="11"/>
  <c r="C14" i="1"/>
  <c r="D14" i="1"/>
  <c r="E14" i="1"/>
  <c r="F14" i="1"/>
  <c r="G14" i="1"/>
  <c r="B16" i="13" s="1"/>
  <c r="B14" i="1"/>
  <c r="C13" i="1"/>
  <c r="D13" i="1"/>
  <c r="E13" i="1"/>
  <c r="F13" i="1"/>
  <c r="G13" i="1"/>
  <c r="B12" i="13" s="1"/>
  <c r="B13" i="1"/>
  <c r="D12" i="1"/>
  <c r="E12" i="1"/>
  <c r="F12" i="1"/>
  <c r="C12" i="1"/>
  <c r="C11" i="1"/>
  <c r="D11" i="1"/>
  <c r="E11" i="1"/>
  <c r="F11" i="1"/>
  <c r="G11" i="1"/>
  <c r="B14" i="13" s="1"/>
  <c r="B11" i="1"/>
  <c r="C10" i="1"/>
  <c r="D10" i="1"/>
  <c r="E10" i="1"/>
  <c r="F10" i="1"/>
  <c r="G10" i="1"/>
  <c r="C9" i="15" s="1"/>
  <c r="B10" i="1"/>
  <c r="C6" i="1"/>
  <c r="C15" i="1" s="1"/>
  <c r="D6" i="1"/>
  <c r="D15" i="1" s="1"/>
  <c r="E6" i="1"/>
  <c r="E15" i="1" s="1"/>
  <c r="F6" i="1"/>
  <c r="F15" i="1" s="1"/>
  <c r="G6" i="1"/>
  <c r="B11" i="13" s="1"/>
  <c r="B6" i="1"/>
  <c r="B15" i="1" s="1"/>
  <c r="C6" i="6"/>
  <c r="D6" i="6"/>
  <c r="E6" i="6"/>
  <c r="F6" i="6"/>
  <c r="G6" i="6"/>
  <c r="B6" i="6"/>
  <c r="E4" i="9"/>
  <c r="D4" i="9"/>
  <c r="C4" i="9"/>
  <c r="H4" i="9" s="1"/>
  <c r="B4" i="9"/>
  <c r="F4" i="9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B25" i="4"/>
  <c r="B16" i="4"/>
  <c r="B17" i="4"/>
  <c r="B18" i="4"/>
  <c r="B19" i="4"/>
  <c r="B20" i="4"/>
  <c r="B21" i="4"/>
  <c r="B22" i="4"/>
  <c r="B23" i="4"/>
  <c r="B24" i="4"/>
  <c r="B15" i="4"/>
  <c r="B7" i="13" l="1"/>
  <c r="B10" i="13"/>
  <c r="G15" i="1"/>
  <c r="C10" i="15" s="1"/>
  <c r="B13" i="14"/>
  <c r="E9" i="15"/>
  <c r="B18" i="13"/>
  <c r="C6" i="13"/>
  <c r="C8" i="13" s="1"/>
  <c r="D13" i="14"/>
  <c r="C13" i="14"/>
  <c r="F13" i="14"/>
  <c r="E13" i="14"/>
  <c r="B6" i="14"/>
  <c r="C15" i="13" l="1"/>
  <c r="C17" i="13"/>
  <c r="C13" i="13"/>
  <c r="D6" i="13"/>
  <c r="F15" i="14"/>
  <c r="D15" i="14"/>
  <c r="C10" i="13"/>
  <c r="C11" i="13" s="1"/>
  <c r="C15" i="14"/>
  <c r="E15" i="14"/>
  <c r="B15" i="14"/>
  <c r="C18" i="13" l="1"/>
  <c r="B17" i="14" s="1"/>
  <c r="B50" i="14" s="1"/>
  <c r="D13" i="13"/>
  <c r="E6" i="13"/>
  <c r="D8" i="13"/>
  <c r="D10" i="13" s="1"/>
  <c r="D11" i="13" s="1"/>
  <c r="D15" i="13"/>
  <c r="D17" i="13"/>
  <c r="B18" i="14" l="1" a="1"/>
  <c r="B18" i="14" s="1"/>
  <c r="D18" i="13"/>
  <c r="C17" i="14" s="1"/>
  <c r="F6" i="13"/>
  <c r="E17" i="13"/>
  <c r="E13" i="13"/>
  <c r="E8" i="13"/>
  <c r="E10" i="13" s="1"/>
  <c r="E11" i="13" s="1"/>
  <c r="E15" i="13"/>
  <c r="E18" i="13" l="1"/>
  <c r="D17" i="14" s="1"/>
  <c r="D50" i="14" s="1"/>
  <c r="G6" i="13"/>
  <c r="F8" i="13"/>
  <c r="F10" i="13" s="1"/>
  <c r="F11" i="13" s="1"/>
  <c r="F15" i="13"/>
  <c r="F13" i="13"/>
  <c r="F17" i="13"/>
  <c r="C50" i="14"/>
  <c r="C18" i="14" a="1"/>
  <c r="C18" i="14" s="1"/>
  <c r="D18" i="14" l="1" a="1"/>
  <c r="D18" i="14" s="1"/>
  <c r="F18" i="13"/>
  <c r="E17" i="14" s="1"/>
  <c r="B24" i="14"/>
  <c r="D7" i="15"/>
  <c r="E7" i="15" s="1"/>
  <c r="G15" i="13"/>
  <c r="G13" i="13"/>
  <c r="B23" i="14" s="1"/>
  <c r="G8" i="13"/>
  <c r="G17" i="13"/>
  <c r="B25" i="14" s="1"/>
  <c r="D8" i="15" l="1"/>
  <c r="E8" i="15" s="1"/>
  <c r="G10" i="13"/>
  <c r="G11" i="13" s="1"/>
  <c r="E50" i="14"/>
  <c r="E18" i="14" a="1"/>
  <c r="E18" i="14" s="1"/>
  <c r="B22" i="14" l="1"/>
  <c r="B26" i="14" s="1"/>
  <c r="B28" i="14" s="1"/>
  <c r="B29" i="14" s="1" a="1"/>
  <c r="B29" i="14" s="1"/>
  <c r="G18" i="13"/>
  <c r="F17" i="14" l="1"/>
  <c r="D10" i="15"/>
  <c r="E10" i="15" s="1"/>
  <c r="F18" i="14" l="1" a="1"/>
  <c r="F18" i="14" s="1"/>
  <c r="B30" i="14" s="1"/>
  <c r="B32" i="14" s="1"/>
  <c r="B34" i="14" s="1"/>
  <c r="F50" i="14"/>
  <c r="B51" i="14" s="1"/>
  <c r="C28" i="15" l="1"/>
  <c r="D28" i="15"/>
  <c r="B39" i="14"/>
  <c r="C3" i="15"/>
  <c r="E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 Kmita</author>
  </authors>
  <commentList>
    <comment ref="G12" authorId="0" shapeId="0" xr:uid="{ED413EE8-1299-45EB-9D8F-75A96BD0464D}">
      <text>
        <r>
          <rPr>
            <b/>
            <sz val="9"/>
            <color indexed="81"/>
            <rFont val="Tahoma"/>
            <family val="2"/>
            <charset val="238"/>
          </rPr>
          <t>Karol Kmita:</t>
        </r>
        <r>
          <rPr>
            <sz val="9"/>
            <color indexed="81"/>
            <rFont val="Tahoma"/>
            <family val="2"/>
            <charset val="238"/>
          </rPr>
          <t xml:space="preserve">
Wzrost 9msc r/r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 Kmita</author>
  </authors>
  <commentList>
    <comment ref="B5" authorId="0" shapeId="0" xr:uid="{C61DE123-1119-4DB2-979C-4EF29C7E7A58}">
      <text>
        <r>
          <rPr>
            <b/>
            <sz val="9"/>
            <color indexed="81"/>
            <rFont val="Tahoma"/>
            <family val="2"/>
            <charset val="238"/>
          </rPr>
          <t>Karol Kmita:</t>
        </r>
        <r>
          <rPr>
            <sz val="9"/>
            <color indexed="81"/>
            <rFont val="Tahoma"/>
            <family val="2"/>
            <charset val="238"/>
          </rPr>
          <t xml:space="preserve">
Wzrost 9msc r/r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 Kmita</author>
  </authors>
  <commentList>
    <comment ref="B2" authorId="0" shapeId="0" xr:uid="{6FF6956D-964E-493B-AEA1-C82C2A02EEF5}">
      <text>
        <r>
          <rPr>
            <b/>
            <sz val="9"/>
            <color indexed="81"/>
            <rFont val="Tahoma"/>
            <family val="2"/>
            <charset val="238"/>
          </rPr>
          <t>Karol Kmita:</t>
        </r>
        <r>
          <rPr>
            <sz val="9"/>
            <color indexed="81"/>
            <rFont val="Tahoma"/>
            <family val="2"/>
            <charset val="238"/>
          </rPr>
          <t xml:space="preserve">
Dane na 16.02.2026</t>
        </r>
      </text>
    </comment>
    <comment ref="B3" authorId="0" shapeId="0" xr:uid="{D10F8B02-F1F5-4593-8F3A-1FCA693C4844}">
      <text>
        <r>
          <rPr>
            <b/>
            <sz val="9"/>
            <color indexed="81"/>
            <rFont val="Tahoma"/>
            <family val="2"/>
            <charset val="238"/>
          </rPr>
          <t>Karol Kmita:</t>
        </r>
        <r>
          <rPr>
            <sz val="9"/>
            <color indexed="81"/>
            <rFont val="Tahoma"/>
            <family val="2"/>
            <charset val="238"/>
          </rPr>
          <t xml:space="preserve">
Dane na 16.02.2026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8CA53-207F-43A8-8877-066C5517DCBD}" keepAlive="1" name="Zapytanie — Company Financials" description="Połączenie z zapytaniem „Company Financials” w skoroszycie." type="5" refreshedVersion="0" background="1">
    <dbPr connection="Provider=Microsoft.Mashup.OleDb.1;Data Source=$Workbook$;Location=&quot;Company Financials&quot;;Extended Properties=&quot;&quot;" command="SELECT * FROM [Company Financials]"/>
  </connection>
  <connection id="2" xr16:uid="{F2913697-8195-4BF7-9123-0C55553F0742}" keepAlive="1" name="Zapytanie — ETR" description="Połączenie z zapytaniem „ETR” w skoroszycie." type="5" refreshedVersion="8" background="1" saveData="1">
    <dbPr connection="Provider=Microsoft.Mashup.OleDb.1;Data Source=$Workbook$;Location=ETR;Extended Properties=&quot;&quot;" command="SELECT * FROM [ETR]"/>
  </connection>
  <connection id="3" xr16:uid="{EE91344B-3751-4E60-9B81-FCB24CCF2157}" keepAlive="1" name="Zapytanie — NWC" description="Połączenie z zapytaniem „NWC” w skoroszycie." type="5" refreshedVersion="8" background="1" saveData="1">
    <dbPr connection="Provider=Microsoft.Mashup.OleDb.1;Data Source=$Workbook$;Location=NWC;Extended Properties=&quot;&quot;" command="SELECT * FROM [NWC]"/>
  </connection>
  <connection id="4" xr16:uid="{81BDC153-945C-48FB-BF04-0E45EE87EC32}" keepAlive="1" name="Zapytanie — RZIS_2" description="Połączenie z zapytaniem „RZIS_2” w skoroszycie." type="5" refreshedVersion="8" background="1" saveData="1">
    <dbPr connection="Provider=Microsoft.Mashup.OleDb.1;Data Source=$Workbook$;Location=RZIS_2;Extended Properties=&quot;&quot;" command="SELECT * FROM [RZIS_2]"/>
  </connection>
  <connection id="5" xr16:uid="{5EE1B03A-BFCB-4DEB-A731-83F916AD5D1E}" keepAlive="1" name="Zapytanie — Tabela 1" description="Połączenie z zapytaniem „Tabela 1” w skoroszycie." type="5" refreshedVersion="8" background="1" saveData="1">
    <dbPr connection="Provider=Microsoft.Mashup.OleDb.1;Data Source=$Workbook$;Location=&quot;Tabela 1&quot;;Extended Properties=&quot;&quot;" command="SELECT * FROM [Tabela 1]"/>
  </connection>
  <connection id="6" xr16:uid="{F03EFFF2-7B6D-4E86-AD3F-2DEBE898872D}" keepAlive="1" name="Zapytanie — Tabela 2" description="Połączenie z zapytaniem „Tabela 2” w skoroszycie." type="5" refreshedVersion="8" background="1" saveData="1">
    <dbPr connection="Provider=Microsoft.Mashup.OleDb.1;Data Source=$Workbook$;Location=&quot;Tabela 2&quot;;Extended Properties=&quot;&quot;" command="SELECT * FROM [Tabela 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<sst xmlns="http://schemas.openxmlformats.org/spreadsheetml/2006/main" count="552" uniqueCount="378">
  <si>
    <t>Column1</t>
  </si>
  <si>
    <t>2020
										(gru 20)</t>
  </si>
  <si>
    <t>2021
										(gru 21)</t>
  </si>
  <si>
    <t>2022
										(gru 22)</t>
  </si>
  <si>
    <t>2023
										(gru 23)</t>
  </si>
  <si>
    <t>2024
										(gru 24)</t>
  </si>
  <si>
    <t>O4K
																(wrz 25)*</t>
  </si>
  <si>
    <t>Przychody ze sprzedaży</t>
  </si>
  <si>
    <t>10 125 815</t>
  </si>
  <si>
    <t>13 362 012</t>
  </si>
  <si>
    <t>19 801 622</t>
  </si>
  <si>
    <t>25 666 255</t>
  </si>
  <si>
    <t>29 273 792</t>
  </si>
  <si>
    <t>32 490 262</t>
  </si>
  <si>
    <t>Techniczny koszt wytworzenia produkcji sprzedanej</t>
  </si>
  <si>
    <t>7 521 986</t>
  </si>
  <si>
    <t>10 038 342</t>
  </si>
  <si>
    <t>15 038 630</t>
  </si>
  <si>
    <t>19 741 459</t>
  </si>
  <si>
    <t>22 463 233</t>
  </si>
  <si>
    <t>24 779 603</t>
  </si>
  <si>
    <t>Koszty sprzedaży</t>
  </si>
  <si>
    <t>1 668 084</t>
  </si>
  <si>
    <t>2 181 963</t>
  </si>
  <si>
    <t>3 080 061</t>
  </si>
  <si>
    <t>3 878 421</t>
  </si>
  <si>
    <t>4 678 717</t>
  </si>
  <si>
    <t>5 381 475</t>
  </si>
  <si>
    <t>Koszty ogólnego zarządu</t>
  </si>
  <si>
    <t>99 783</t>
  </si>
  <si>
    <t>117 285</t>
  </si>
  <si>
    <t>143 217</t>
  </si>
  <si>
    <t>173 736</t>
  </si>
  <si>
    <t>233 653</t>
  </si>
  <si>
    <t>258 114</t>
  </si>
  <si>
    <t>Zysk ze sprzedaży</t>
  </si>
  <si>
    <t>835 962</t>
  </si>
  <si>
    <t>1 024 422</t>
  </si>
  <si>
    <t>1 539 714</t>
  </si>
  <si>
    <t>1 872 639</t>
  </si>
  <si>
    <t>1 898 189</t>
  </si>
  <si>
    <t>2 071 070</t>
  </si>
  <si>
    <t>Pozostałe przychody operacyjne</t>
  </si>
  <si>
    <t>7 598</t>
  </si>
  <si>
    <t>14 364</t>
  </si>
  <si>
    <t>16 282</t>
  </si>
  <si>
    <t>13 477</t>
  </si>
  <si>
    <t>24 185</t>
  </si>
  <si>
    <t>33 685</t>
  </si>
  <si>
    <t>Pozostałe koszty operacyjne</t>
  </si>
  <si>
    <t>5 701</t>
  </si>
  <si>
    <t>14 793</t>
  </si>
  <si>
    <t>18 177</t>
  </si>
  <si>
    <t>10 261</t>
  </si>
  <si>
    <t>14 044</t>
  </si>
  <si>
    <t>19 557</t>
  </si>
  <si>
    <t>Zysk operacyjny (EBIT)</t>
  </si>
  <si>
    <t>837 859</t>
  </si>
  <si>
    <t>1 023 993</t>
  </si>
  <si>
    <t>1 537 819</t>
  </si>
  <si>
    <t>1 875 855</t>
  </si>
  <si>
    <t>1 908 330</t>
  </si>
  <si>
    <t>2 085 198</t>
  </si>
  <si>
    <t>Przychody finansowe</t>
  </si>
  <si>
    <t>3 237</t>
  </si>
  <si>
    <t>1 119</t>
  </si>
  <si>
    <t>5 092</t>
  </si>
  <si>
    <t>10 442</t>
  </si>
  <si>
    <t>6 657</t>
  </si>
  <si>
    <t>8 553</t>
  </si>
  <si>
    <t>Koszty finansowe</t>
  </si>
  <si>
    <t>52 096</t>
  </si>
  <si>
    <t>46 703</t>
  </si>
  <si>
    <t>141 293</t>
  </si>
  <si>
    <t>147 316</t>
  </si>
  <si>
    <t>121 424</t>
  </si>
  <si>
    <t>126 247</t>
  </si>
  <si>
    <t>Pozostałe przychody (koszty)</t>
  </si>
  <si>
    <t>0</t>
  </si>
  <si>
    <t>Zysk z działalności gospodarczej</t>
  </si>
  <si>
    <t>789 000</t>
  </si>
  <si>
    <t>978 409</t>
  </si>
  <si>
    <t>1 401 618</t>
  </si>
  <si>
    <t>1 738 981</t>
  </si>
  <si>
    <t>1 793 563</t>
  </si>
  <si>
    <t>1 967 504</t>
  </si>
  <si>
    <t>Wynik zdarzeń nadzwyczajnych</t>
  </si>
  <si>
    <t>Zysk przed opodatkowaniem</t>
  </si>
  <si>
    <t>Zysk (strata) netto z działalności zaniechanej</t>
  </si>
  <si>
    <t>Zysk netto</t>
  </si>
  <si>
    <t>643 917</t>
  </si>
  <si>
    <t>805 303</t>
  </si>
  <si>
    <t>1 132 087</t>
  </si>
  <si>
    <t>1 405 327</t>
  </si>
  <si>
    <t>1 505 729</t>
  </si>
  <si>
    <t>1 614 891</t>
  </si>
  <si>
    <t>Zysk netto akcjonariuszy jednostki dominującej</t>
  </si>
  <si>
    <t>1 504 980</t>
  </si>
  <si>
    <t>1 614 283</t>
  </si>
  <si>
    <t>2024Q4-2025Q3</t>
  </si>
  <si>
    <t>Przepływy pieniężne z działalności operacyjnej</t>
  </si>
  <si>
    <t>819 922</t>
  </si>
  <si>
    <t>1 326 331</t>
  </si>
  <si>
    <t>1 253 422</t>
  </si>
  <si>
    <t>1 771 540</t>
  </si>
  <si>
    <t>2 557 453</t>
  </si>
  <si>
    <t>2 476 835</t>
  </si>
  <si>
    <t/>
  </si>
  <si>
    <t>Amortyzacja</t>
  </si>
  <si>
    <t>198 146</t>
  </si>
  <si>
    <t>247 343</t>
  </si>
  <si>
    <t>300 129</t>
  </si>
  <si>
    <t>356 828</t>
  </si>
  <si>
    <t>409 179</t>
  </si>
  <si>
    <t>479 009</t>
  </si>
  <si>
    <t>Przepływy pieniężne z działalności inwestycyjnej</t>
  </si>
  <si>
    <t>-1 000 136</t>
  </si>
  <si>
    <t>-1 330 728</t>
  </si>
  <si>
    <t>-1 434 563</t>
  </si>
  <si>
    <t>-1 158 256</t>
  </si>
  <si>
    <t>-1 596 909</t>
  </si>
  <si>
    <t>-1 997 353</t>
  </si>
  <si>
    <t>CAPEX (niematerialne i rzeczowe)</t>
  </si>
  <si>
    <t>1 002 025</t>
  </si>
  <si>
    <t>1 335 604</t>
  </si>
  <si>
    <t>1 445 905</t>
  </si>
  <si>
    <t>1 172 863</t>
  </si>
  <si>
    <t>1 561 914</t>
  </si>
  <si>
    <t>2 007 180</t>
  </si>
  <si>
    <t>Przepływy pieniężne z działalności finansowej</t>
  </si>
  <si>
    <t>265 912</t>
  </si>
  <si>
    <t>-57 406</t>
  </si>
  <si>
    <t>145 244</t>
  </si>
  <si>
    <t>-777 613</t>
  </si>
  <si>
    <t>-287 911</t>
  </si>
  <si>
    <t>-478 296</t>
  </si>
  <si>
    <t>Emisja akcji</t>
  </si>
  <si>
    <t>Dywidenda</t>
  </si>
  <si>
    <t>Skup akcji</t>
  </si>
  <si>
    <t>Płatności z tytułu umów leasingu</t>
  </si>
  <si>
    <t>Przepływy pieniężne razem</t>
  </si>
  <si>
    <t>85 698</t>
  </si>
  <si>
    <t>-61 803</t>
  </si>
  <si>
    <t>-35 897</t>
  </si>
  <si>
    <t>-164 329</t>
  </si>
  <si>
    <t>672 633</t>
  </si>
  <si>
    <t>1 186</t>
  </si>
  <si>
    <t>Free Cash Flow</t>
  </si>
  <si>
    <t>Kolumna1</t>
  </si>
  <si>
    <t xml:space="preserve">            Zmiana stanu zapasów</t>
  </si>
  <si>
    <t xml:space="preserve">            Zmiana stanu należności</t>
  </si>
  <si>
    <t xml:space="preserve">            Zmiana stanu zobowiązań</t>
  </si>
  <si>
    <t>2024</t>
  </si>
  <si>
    <t>2023</t>
  </si>
  <si>
    <t>2022</t>
  </si>
  <si>
    <t>2021</t>
  </si>
  <si>
    <t>2020</t>
  </si>
  <si>
    <t xml:space="preserve">            Zmiana stanu rozliczeń międzyokresowych</t>
  </si>
  <si>
    <t>FCFF</t>
  </si>
  <si>
    <t xml:space="preserve">    Zysk brutto</t>
  </si>
  <si>
    <t xml:space="preserve">    Podatek dochodowy</t>
  </si>
  <si>
    <t>ETR</t>
  </si>
  <si>
    <t>Stawka została przyjęta na poziomie ustawowym ze względu na stabilność historyczną ETR</t>
  </si>
  <si>
    <t>Zmiana NWC</t>
  </si>
  <si>
    <t>Pozycja (mln PLN)</t>
  </si>
  <si>
    <t>LTM</t>
  </si>
  <si>
    <t>Podatek dochodowy</t>
  </si>
  <si>
    <t>NOPAT</t>
  </si>
  <si>
    <t>Marża EBIT</t>
  </si>
  <si>
    <t>CAPEX do przychodów ze sprzedaży</t>
  </si>
  <si>
    <t>Stawka podatku dochodowego</t>
  </si>
  <si>
    <t>Wzrost sprzedaży r/r</t>
  </si>
  <si>
    <t>Parametr</t>
  </si>
  <si>
    <t>Założona wartość</t>
  </si>
  <si>
    <t>Uzasadnienie</t>
  </si>
  <si>
    <t>Źródło / Referencja</t>
  </si>
  <si>
    <t>2026E</t>
  </si>
  <si>
    <t>2027E</t>
  </si>
  <si>
    <t>2028E</t>
  </si>
  <si>
    <t>2029E</t>
  </si>
  <si>
    <t>2030E</t>
  </si>
  <si>
    <t>Efektywna stawka podatkowa</t>
  </si>
  <si>
    <t>CAPEX / Przychody ze sprzedaży</t>
  </si>
  <si>
    <t>emis.com                       własne</t>
  </si>
  <si>
    <t>Raport roczny 2024        własne</t>
  </si>
  <si>
    <t>Amortyzacja do przychodów ze sprzedaży</t>
  </si>
  <si>
    <t>biznesradar.pl                    własne</t>
  </si>
  <si>
    <t xml:space="preserve">Zmiana kapitału obrotowego (NWC) </t>
  </si>
  <si>
    <t>Zmiana NWC do przychodów ze sprzedaży</t>
  </si>
  <si>
    <t>grupadino.pl/faq      Raport roczny 2024       własne</t>
  </si>
  <si>
    <t>Beta</t>
  </si>
  <si>
    <t>Premia za ryzyko rynkowe (ERP)</t>
  </si>
  <si>
    <t>Stopa wolna od ryzyka (Rf)</t>
  </si>
  <si>
    <t>pekao.com.pl/analizy-makroekonomiczne/tabela-prognoz/                    własne</t>
  </si>
  <si>
    <t xml:space="preserve">emis.com                       </t>
  </si>
  <si>
    <t>Przyjęto  wartość zbieżną z długoterminowym celem inflacyjnym NBP.</t>
  </si>
  <si>
    <t>Stopa Wzrostu po Prognozie (g)</t>
  </si>
  <si>
    <t>Long term debt</t>
  </si>
  <si>
    <t>Loans &amp; short-term debt</t>
  </si>
  <si>
    <t>suma długu</t>
  </si>
  <si>
    <t xml:space="preserve">Rachunek zysków i strat </t>
  </si>
  <si>
    <t xml:space="preserve">2024 </t>
  </si>
  <si>
    <t xml:space="preserve">2023 </t>
  </si>
  <si>
    <t xml:space="preserve">2022 </t>
  </si>
  <si>
    <t xml:space="preserve">2021 </t>
  </si>
  <si>
    <t xml:space="preserve">2020 </t>
  </si>
  <si>
    <t xml:space="preserve">    I. Przychody ze sprzedaży</t>
  </si>
  <si>
    <t xml:space="preserve">    II. Koszt własny sprzedaży</t>
  </si>
  <si>
    <t xml:space="preserve">    III. Zysk/strata brutto ze sprzedaży</t>
  </si>
  <si>
    <t xml:space="preserve">    IV. Koszty sprzedaży</t>
  </si>
  <si>
    <t xml:space="preserve">    V. Koszty ogólnego zarządu</t>
  </si>
  <si>
    <t xml:space="preserve">    VIII. Pozostałe przychody operacyjne</t>
  </si>
  <si>
    <t xml:space="preserve">    IX. Pozostałe koszty operacyjne</t>
  </si>
  <si>
    <t xml:space="preserve">    XI. Zysk/strata na działalności operacyjnej</t>
  </si>
  <si>
    <t xml:space="preserve">    XII. Przychody finansowe</t>
  </si>
  <si>
    <t xml:space="preserve">    XIII. Koszty finansowe</t>
  </si>
  <si>
    <t xml:space="preserve">    XVIII. Zysk/strata brutto</t>
  </si>
  <si>
    <t xml:space="preserve">    XIX. Podatek dochodowy</t>
  </si>
  <si>
    <t xml:space="preserve">    XXII. Zysk/strata netto z działalności kontynuowanej</t>
  </si>
  <si>
    <t xml:space="preserve">    XXIV. Zysk/strata netto</t>
  </si>
  <si>
    <t xml:space="preserve">        1. zysk/strata netto udziałowców jednostki dominującej</t>
  </si>
  <si>
    <t xml:space="preserve">        2. zysk/strata netto właścicieli udziałów niekontrolujących</t>
  </si>
  <si>
    <t xml:space="preserve">    - Amortyzacja (noty)</t>
  </si>
  <si>
    <t xml:space="preserve">Bilans </t>
  </si>
  <si>
    <t xml:space="preserve">    AKTYWA</t>
  </si>
  <si>
    <t xml:space="preserve">        I. Aktywa trwałe</t>
  </si>
  <si>
    <t xml:space="preserve">            1. Rzeczowe aktywa trwałe</t>
  </si>
  <si>
    <t xml:space="preserve">            3. Wartości niematerialne</t>
  </si>
  <si>
    <t xml:space="preserve">            9. Aktywa z tytułu odroczonego podatku dochodowego</t>
  </si>
  <si>
    <t xml:space="preserve">            12. Pozostałe aktywa długoterminowe</t>
  </si>
  <si>
    <t xml:space="preserve">        II. Aktywa obrotowe</t>
  </si>
  <si>
    <t xml:space="preserve">            1. Zapasy</t>
  </si>
  <si>
    <t xml:space="preserve">            3. Należności handlowe</t>
  </si>
  <si>
    <t xml:space="preserve">            4. Pożyczki i pozostałe należności</t>
  </si>
  <si>
    <t xml:space="preserve">            5. Aktywa finansowe</t>
  </si>
  <si>
    <t xml:space="preserve">            6. Środki pieniężne i ich ekwiwalenty</t>
  </si>
  <si>
    <t xml:space="preserve">            10. Pozostałe aktywa</t>
  </si>
  <si>
    <t xml:space="preserve">    PASYWA</t>
  </si>
  <si>
    <t xml:space="preserve">        I. Kapitał własny udziałowców podmiotu dominującego</t>
  </si>
  <si>
    <t xml:space="preserve">            1. Kapitał podstawowy</t>
  </si>
  <si>
    <t xml:space="preserve">            4. Kapitał zapasowy</t>
  </si>
  <si>
    <t xml:space="preserve">            6. Pozostałe kapitały</t>
  </si>
  <si>
    <t xml:space="preserve">            7. Zyski zatrzymane / niepokryte straty</t>
  </si>
  <si>
    <t xml:space="preserve">        II. Udziały niekontrolujące</t>
  </si>
  <si>
    <t xml:space="preserve">        III. Zobowiązania długoterminowe</t>
  </si>
  <si>
    <t xml:space="preserve">            2. Długoterminowe zobowiązania finansowe</t>
  </si>
  <si>
    <t xml:space="preserve">            3. Długoterminowe kredyty i pożyczki</t>
  </si>
  <si>
    <t xml:space="preserve">            5. Długoterminowe rezerwy na świadczenia pracownicze</t>
  </si>
  <si>
    <t xml:space="preserve">            6. Rezerwa z tytułu odroczonego podatku dochodowego</t>
  </si>
  <si>
    <t xml:space="preserve">            8. Pozostałe zobowiązania długoterminowe</t>
  </si>
  <si>
    <t xml:space="preserve">            9. Długoterminowe rozliczenia międzyokresowe (zobowiązania)</t>
  </si>
  <si>
    <t xml:space="preserve">            11. Długoterminowe zobowiązania z tytułu leasingu</t>
  </si>
  <si>
    <t xml:space="preserve">        IV. Zobowiązania krótkoterminowe</t>
  </si>
  <si>
    <t xml:space="preserve">            2. Zobowiązania finansowe</t>
  </si>
  <si>
    <t xml:space="preserve">            3. Krótkoterminowe kredyty i pożyczki</t>
  </si>
  <si>
    <t xml:space="preserve">            4. Krótkoterminowe zobowiązania z tytułu leasingu</t>
  </si>
  <si>
    <t xml:space="preserve">            5. Zobowiązania handlowe</t>
  </si>
  <si>
    <t xml:space="preserve">            6. Świadczenia pracownicze</t>
  </si>
  <si>
    <t xml:space="preserve">            7. Zobowiązania z tytułu bieżącego podatku</t>
  </si>
  <si>
    <t xml:space="preserve">            9. Pozostałe zobowiązania</t>
  </si>
  <si>
    <t xml:space="preserve">            10. Rozliczenia międzyokresowe (zobowiązania)</t>
  </si>
  <si>
    <t xml:space="preserve">Rachunek przepływów pieniężnych </t>
  </si>
  <si>
    <t xml:space="preserve">    A. Przepływy operacyjne</t>
  </si>
  <si>
    <t xml:space="preserve">        1. Wynik finansowy</t>
  </si>
  <si>
    <t xml:space="preserve">        3. Amortyzacja (przepływy operacyjne)</t>
  </si>
  <si>
    <t xml:space="preserve">        5. Odsetki i dywidendy z działalności operacyjnej</t>
  </si>
  <si>
    <t xml:space="preserve">        6. Wynik na działalności inwestycyjnej</t>
  </si>
  <si>
    <t xml:space="preserve">        10. Podatek dochodowy zapłacony</t>
  </si>
  <si>
    <t xml:space="preserve">        12. Zmiana stanu rezerw</t>
  </si>
  <si>
    <t xml:space="preserve">        13. Zmiana stanu zapasów</t>
  </si>
  <si>
    <t xml:space="preserve">        14. Zmiana stanu należności</t>
  </si>
  <si>
    <t xml:space="preserve">        15. Zmiana stanu zobowiązań</t>
  </si>
  <si>
    <t xml:space="preserve">        16. Zmiana stanu rozliczeń międzyokresowych</t>
  </si>
  <si>
    <t xml:space="preserve">        18. Pozostałe przepływy operacyjne</t>
  </si>
  <si>
    <t xml:space="preserve">    B. Przepływy inwestycyjne</t>
  </si>
  <si>
    <t xml:space="preserve">        1. Zbycie rzeczowych aktywów trwałych oraz wartości niematerialnych</t>
  </si>
  <si>
    <t xml:space="preserve">        2. Nabycie rzeczowych aktywów trwałych oraz wartości niematerialnych</t>
  </si>
  <si>
    <t xml:space="preserve">        4. Nabycie udziałów w podmiotach powiązanych</t>
  </si>
  <si>
    <t xml:space="preserve">        9. Zwrot udzielonych pożyczek</t>
  </si>
  <si>
    <t xml:space="preserve">        10. Udzielone pożyczki</t>
  </si>
  <si>
    <t xml:space="preserve">        11. Odsetki i dywidendy z działalności inwestycyjnej</t>
  </si>
  <si>
    <t xml:space="preserve">    C. Przepływy finansowe</t>
  </si>
  <si>
    <t xml:space="preserve">        3. Wyemitowane papiery dłużne</t>
  </si>
  <si>
    <t xml:space="preserve">        4. Wykup papierów dłużnych</t>
  </si>
  <si>
    <t xml:space="preserve">        5. Zaciągnięte kredyty i pożyczki</t>
  </si>
  <si>
    <t xml:space="preserve">        6. Spłacone kredyty i pożyczki</t>
  </si>
  <si>
    <t xml:space="preserve">        8. Płatności z tytułu leasingu</t>
  </si>
  <si>
    <t xml:space="preserve">        10. Odsetki z działalności finansowej</t>
  </si>
  <si>
    <t xml:space="preserve">    D. Przepływy pieniężne netto</t>
  </si>
  <si>
    <t xml:space="preserve">    G. Środki pieniężne na początek okresu</t>
  </si>
  <si>
    <t xml:space="preserve">    H. Środki pieniężne na koniec okresu</t>
  </si>
  <si>
    <t>koszt długu</t>
  </si>
  <si>
    <t>Koszt długu przed opodatkowaniemt długu</t>
  </si>
  <si>
    <t>Koszt długu uwzględniający tarczę podatkową</t>
  </si>
  <si>
    <t>Wartość oparta na aktualnej stopie referencyjnej WIBOR 3M powiększonej o marżę kredytową oraz efektywny koszt leasingu operacyjnego. W następnych latach przewiduje spadek WIBOR 3M.</t>
  </si>
  <si>
    <t>WACC</t>
  </si>
  <si>
    <t>Kapitalizacja rynkowa</t>
  </si>
  <si>
    <t>2025Q3</t>
  </si>
  <si>
    <t>Suma długu 2025Q3</t>
  </si>
  <si>
    <t>Wd</t>
  </si>
  <si>
    <t>Ke</t>
  </si>
  <si>
    <t xml:space="preserve">2029E </t>
  </si>
  <si>
    <t>We</t>
  </si>
  <si>
    <t>Przychody ze sprzedaży z 2024r</t>
  </si>
  <si>
    <t>Amortyzacja (D&amp;A)</t>
  </si>
  <si>
    <t>CAPEX</t>
  </si>
  <si>
    <t xml:space="preserve">Zmiana NWC  </t>
  </si>
  <si>
    <t>PV</t>
  </si>
  <si>
    <t>PV(TV)</t>
  </si>
  <si>
    <t>Wartość przedsiębiorstwa (EV)</t>
  </si>
  <si>
    <t>Wartość rezydualna (TV)</t>
  </si>
  <si>
    <t>Wartość Kapitału Własnego</t>
  </si>
  <si>
    <t>środki pieniężne i ekwiwalenty</t>
  </si>
  <si>
    <t>Dług netto</t>
  </si>
  <si>
    <t>Dług netto (2025Q3)</t>
  </si>
  <si>
    <t xml:space="preserve">Liczba akcji </t>
  </si>
  <si>
    <t>Wartość na akcje</t>
  </si>
  <si>
    <t>Terminal CAPEX / Przychody</t>
  </si>
  <si>
    <t>NOPAT 2030E</t>
  </si>
  <si>
    <t>Amortyzacja 2030E</t>
  </si>
  <si>
    <t>Terminal CAPEX</t>
  </si>
  <si>
    <t>Normalizowane FCFF</t>
  </si>
  <si>
    <t>Analiza wrażliwości</t>
  </si>
  <si>
    <t>Wartość przedsiębiorstwa</t>
  </si>
  <si>
    <t>Cena akcji</t>
  </si>
  <si>
    <t>IRR</t>
  </si>
  <si>
    <t>Dino Polska S.A.</t>
  </si>
  <si>
    <t>Kurs rynkowy (Luty 2026)</t>
  </si>
  <si>
    <t>Potencjał (Upside/Downside)</t>
  </si>
  <si>
    <t xml:space="preserve">Wycena DCF </t>
  </si>
  <si>
    <t>Zmiana (%)</t>
  </si>
  <si>
    <t>Wynik operacyjny (EBIT)</t>
  </si>
  <si>
    <t>Marża EBIT (%)</t>
  </si>
  <si>
    <t>Wolne przepływy (FCFF)</t>
  </si>
  <si>
    <t>LTM (-2025Q3)</t>
  </si>
  <si>
    <t>Spółka</t>
  </si>
  <si>
    <t>Jeronimo Martins</t>
  </si>
  <si>
    <t>Eurocash</t>
  </si>
  <si>
    <t>Ebitda</t>
  </si>
  <si>
    <t>Dino</t>
  </si>
  <si>
    <t>market capit</t>
  </si>
  <si>
    <t>cena</t>
  </si>
  <si>
    <t>Jeronimo Martins Polska S.A.</t>
  </si>
  <si>
    <t>Dino Polska S.A. (przy 29,25 PLN)</t>
  </si>
  <si>
    <t>LTM 2025</t>
  </si>
  <si>
    <t>Aby uzasadnić obecną cenę rynkową (~40 PLN), rynek musiałby zakładać np. spadek WACC poniżej 7,5% lub wzrost g powyżej 3,0%.</t>
  </si>
  <si>
    <t>Wewnętrzna stopa zwrotu (IRR)</t>
  </si>
  <si>
    <t>Dino Polska S.A. (przy 39,63 PLN)</t>
  </si>
  <si>
    <r>
      <t xml:space="preserve">Rekomendacja: </t>
    </r>
    <r>
      <rPr>
        <b/>
        <u/>
        <sz val="11"/>
        <color theme="1"/>
        <rFont val="Segoe UI"/>
        <family val="2"/>
        <charset val="238"/>
      </rPr>
      <t>SPRZEDAJ</t>
    </r>
  </si>
  <si>
    <t>Struktura kapitału Dino Polska opiera się w przeważającej mierze na kapitale własnym (We​≈97,8%), co wynika z wysokiej kapitalizacji rynkowej oraz zdolności spółki do samofinansowania ekspansji operacyjnej. Tak niski poziom dźwigni finansowej (Wd​=2,2%) minimalizuje ryzyko finansowe i czyni wycenę DCF bardziej odporną na wahania rynkowych stóp procentowych.</t>
  </si>
  <si>
    <t>Kontynuacja ekspansji geograficznej (głównie ściana wschodnia). Zakładana malejąca dynamika wynika z rosnącego nasycenia rynku w regionach o najwyższej obecności sieci.</t>
  </si>
  <si>
    <t>Konserwatywne założenie lekkiej kompresji marży ze względu na presję kosztową (koszty pracy) oraz intensywną konkurencję cenową w sektorze.</t>
  </si>
  <si>
    <t>Przyjęcie stawki ustawowej 19% w oparciu o wysoką stabilność historyczną efektywnej stopy podatkowej (ETR) spółki.</t>
  </si>
  <si>
    <t>Utrzymanie wysokiego tempa inwestycji w sieć i logistykę zgodnie ze strategią. Spadek wskaźnika % wynika z efektu skali (szybszy wzrost bazy przychodowej względem nakładów).</t>
  </si>
  <si>
    <t>Stabilizacja wskaźnika na poziomie historycznym, odzwierciedlająca regularny cykl zużycia majątku trwałego sieci.</t>
  </si>
  <si>
    <t>Założenie neutralnego wpływu kapitału obrotowego na FCF, oparte na średniej z poprzednich okresów sprawozdawczych.</t>
  </si>
  <si>
    <t>Damodaran                własne</t>
  </si>
  <si>
    <t>własne</t>
  </si>
  <si>
    <t>Oparta na prognozach rentowności 10-letnich obligacji skarbowych z założeniem stabilizacji w okolicach 4,0%.</t>
  </si>
  <si>
    <t>Wartość 0,74 odzwierciedla defensywny charakter sektora spożywczego i wysoką odporność modelu biznesowego Dino na wahania cyklu koniunkturalnego.</t>
  </si>
  <si>
    <t>Przyjęto 6,0% jako konserwatywny kompromis między aktualną premią implikowaną (Damodaran) a historycznym standardem polskiego rynku.</t>
  </si>
  <si>
    <t>Poziom 1,7% odzwierciedla konwergencję nakładów inwestycyjnych do poziomu amortyzacji po okresie intensywnej ekspansji.</t>
  </si>
  <si>
    <t>Koszt kapitału własnego obliczony zgodnie z modelem CAPM: Ke​=Rf​+β×ERP</t>
  </si>
  <si>
    <t>WACC \ g</t>
  </si>
  <si>
    <t xml:space="preserve">Cena akcji </t>
  </si>
  <si>
    <t>Wszystkie wartości pieniężne wyrażone są w mln PLN, z wyjątkiem kursu akcji oraz wyceny na akcję (PLN)</t>
  </si>
  <si>
    <t xml:space="preserve"> P/E (Cena/Zysk)</t>
  </si>
  <si>
    <t>EV/EBITDA</t>
  </si>
  <si>
    <t>Eurocash S.A.*</t>
  </si>
  <si>
    <t>Główne źródła rozbieżności:</t>
  </si>
  <si>
    <r>
      <rPr>
        <b/>
        <sz val="11"/>
        <color theme="1"/>
        <rFont val="Segoe UI"/>
        <family val="2"/>
        <charset val="238"/>
      </rPr>
      <t>Niedoszacowanie ryzyk operacyjnych:</t>
    </r>
    <r>
      <rPr>
        <sz val="11"/>
        <color theme="1"/>
        <rFont val="Segoe UI"/>
        <family val="2"/>
        <charset val="238"/>
      </rPr>
      <t xml:space="preserve"> Kurs giełdowy wydaje się ignorować strukturalny spadek marż operacyjnych (z 8,3% w 2022 r. do 6,4% obecnie), zakładając powrót do historycznie wysokich rentowności, co przy obecnych kosztach pracy jest mało prawdopodobne.</t>
    </r>
  </si>
  <si>
    <r>
      <rPr>
        <b/>
        <sz val="11"/>
        <color theme="1"/>
        <rFont val="Segoe UI"/>
        <family val="2"/>
        <charset val="238"/>
      </rPr>
      <t>Bardzo wysokie założenia wzrostu (g):</t>
    </r>
    <r>
      <rPr>
        <sz val="11"/>
        <color theme="1"/>
        <rFont val="Segoe UI"/>
        <family val="2"/>
        <charset val="238"/>
      </rPr>
      <t xml:space="preserve"> Rynek wycenia Dino przy założeniu, że spółka będzie rosła w nieskończoność o ponad 3,5-4,0% rocznie. Moja wycena opiera się na konserwatywnym i bezpiecznym g=2,5%, co jest spójne z długoterminowym celem inflacyjnym NBP.</t>
    </r>
  </si>
  <si>
    <r>
      <rPr>
        <b/>
        <sz val="11"/>
        <color theme="1"/>
        <rFont val="Segoe UI"/>
        <family val="2"/>
        <charset val="238"/>
      </rPr>
      <t>Premia za „Growth Darling”:</t>
    </r>
    <r>
      <rPr>
        <sz val="11"/>
        <color theme="1"/>
        <rFont val="Segoe UI"/>
        <family val="2"/>
        <charset val="238"/>
      </rPr>
      <t xml:space="preserve"> Inwestorzy płacą za Dino „premię za jakość i wzrost”, która odrywa cenę od fundamentów gotówkowych. Z perspektywy stopy zwrotu, przy cenie 39,63 PLN inwestor akceptuje IRR na poziomie 2,3%, co jest nieuzasadnione przy dostępności obligacji skarbowych oferujących 4,5%</t>
    </r>
  </si>
  <si>
    <t>Kluczowe Ryzyka Inwestycyjne</t>
  </si>
  <si>
    <r>
      <t>Intensyfikacja wojen cenowych:</t>
    </r>
    <r>
      <rPr>
        <sz val="11"/>
        <color theme="1"/>
        <rFont val="Segoe UI"/>
        <family val="2"/>
        <charset val="238"/>
      </rPr>
      <t xml:space="preserve"> Agresywna walka o klienta pomiędzy liderami rynku (Biedronka, Lidl) może zmusić Dino do obniżenia marż handlowych, by zachować konkurencyjność cenową.</t>
    </r>
  </si>
  <si>
    <r>
      <t>Ryzyko nasycenia i ekspansji:</t>
    </r>
    <r>
      <rPr>
        <sz val="11"/>
        <color theme="1"/>
        <rFont val="Segoe UI"/>
        <family val="2"/>
        <charset val="238"/>
      </rPr>
      <t xml:space="preserve"> Zakładana kontynuacja ekspansji na ścianie wschodniej wiąże się z niższym nasyceniem, ale też niższą siłą nabywczą konsumentów, co może spowolnić dynamikę sprzedaży Like-for-Like (LFL).</t>
    </r>
  </si>
  <si>
    <r>
      <rPr>
        <b/>
        <sz val="11"/>
        <color theme="1"/>
        <rFont val="Segoe UI"/>
        <family val="2"/>
        <charset val="238"/>
      </rPr>
      <t>Presja kosztowa i marżowa:</t>
    </r>
    <r>
      <rPr>
        <sz val="11"/>
        <color theme="1"/>
        <rFont val="Segoe UI"/>
        <family val="2"/>
        <charset val="238"/>
      </rPr>
      <t xml:space="preserve"> Dalszy gwałtowny wzrost kosztów pracy oraz cen energii stanowi bezpośrednie zagrożenie dla założonej marży EBIT (prognozowanej na poziomie 6,1% w 2030E)</t>
    </r>
  </si>
  <si>
    <r>
      <t>Normalizacja mnożników rynkowych:</t>
    </r>
    <r>
      <rPr>
        <sz val="11"/>
        <color theme="1"/>
        <rFont val="Segoe UI"/>
        <family val="2"/>
        <charset val="238"/>
      </rPr>
      <t xml:space="preserve"> Obecna wycena rynkowa (P/E 32,4) zakłada utrzymanie ogromnej premii względem konkurentów takich jak Jeronimo Martins (P/E 16,6). Każde rozczarowanie wynikami może doprowadzić do gwałtownej korekty mnożników.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</si>
</sst>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43" formatCode="_-* #,##0.00_-;\-* #,##0.00_-;_-* &quot;-&quot;??_-;_-@_-"/>
    <numFmt numFmtId="168" formatCode="0.0%"/>
    <numFmt numFmtId="185" formatCode="0.0"/>
  </numFmts>
  <fonts count="2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Segoe UI"/>
      <family val="2"/>
      <charset val="238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6"/>
      <name val="Aptos Narrow"/>
      <family val="2"/>
      <charset val="238"/>
      <scheme val="minor"/>
    </font>
    <font>
      <sz val="11"/>
      <color theme="1"/>
      <name val="Segoe UI"/>
      <family val="2"/>
      <charset val="238"/>
    </font>
    <font>
      <b/>
      <sz val="11"/>
      <color theme="1"/>
      <name val="Segoe UI"/>
      <family val="2"/>
      <charset val="238"/>
    </font>
    <font>
      <b/>
      <u/>
      <sz val="11"/>
      <color theme="1"/>
      <name val="Segoe UI"/>
      <family val="2"/>
      <charset val="238"/>
    </font>
    <font>
      <b/>
      <sz val="12"/>
      <color theme="1"/>
      <name val="Segoe UI"/>
      <family val="2"/>
      <charset val="238"/>
    </font>
    <font>
      <b/>
      <sz val="14"/>
      <color theme="1"/>
      <name val="Segoe UI"/>
      <family val="2"/>
      <charset val="238"/>
    </font>
    <font>
      <sz val="11"/>
      <name val="Segoe UI"/>
      <family val="2"/>
      <charset val="238"/>
    </font>
    <font>
      <b/>
      <sz val="11"/>
      <name val="Segoe UI"/>
      <family val="2"/>
      <charset val="238"/>
    </font>
    <font>
      <sz val="11"/>
      <color theme="4"/>
      <name val="Segoe UI"/>
      <family val="2"/>
      <charset val="238"/>
    </font>
    <font>
      <sz val="11"/>
      <color theme="6"/>
      <name val="Segoe UI"/>
      <family val="2"/>
      <charset val="238"/>
    </font>
    <font>
      <b/>
      <sz val="16"/>
      <color theme="1"/>
      <name val="Segoe UI"/>
      <family val="2"/>
      <charset val="238"/>
    </font>
    <font>
      <sz val="11"/>
      <color theme="0" tint="-0.34998626667073579"/>
      <name val="Segoe UI"/>
      <family val="2"/>
      <charset val="238"/>
    </font>
    <font>
      <sz val="10"/>
      <color theme="6"/>
      <name val="Segoe UI"/>
      <family val="2"/>
      <charset val="238"/>
    </font>
    <font>
      <sz val="10"/>
      <color theme="4"/>
      <name val="Segoe UI"/>
      <family val="2"/>
      <charset val="238"/>
    </font>
    <font>
      <b/>
      <sz val="10"/>
      <color theme="1"/>
      <name val="Segoe UI"/>
      <family val="2"/>
      <charset val="238"/>
    </font>
    <font>
      <sz val="10"/>
      <color theme="9" tint="-0.249977111117893"/>
      <name val="Segoe UI"/>
      <family val="2"/>
      <charset val="238"/>
    </font>
    <font>
      <sz val="10"/>
      <color rgb="FFC00000"/>
      <name val="Segoe UI"/>
      <family val="2"/>
      <charset val="238"/>
    </font>
    <font>
      <u/>
      <sz val="10"/>
      <color theme="1"/>
      <name val="Segoe UI"/>
      <family val="2"/>
      <charset val="238"/>
    </font>
    <font>
      <b/>
      <u/>
      <sz val="8"/>
      <name val="Segoe UI"/>
      <family val="2"/>
      <charset val="238"/>
    </font>
    <font>
      <sz val="12"/>
      <color theme="1"/>
      <name val="Segoe UI"/>
      <family val="2"/>
      <charset val="238"/>
    </font>
    <font>
      <sz val="8"/>
      <color theme="1"/>
      <name val="Segoe U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NumberFormat="1"/>
    <xf numFmtId="44" fontId="0" fillId="0" borderId="0" xfId="1" applyNumberFormat="1" applyFont="1"/>
    <xf numFmtId="0" fontId="0" fillId="0" borderId="0" xfId="0" applyNumberFormat="1" applyAlignment="1">
      <alignment horizontal="right" vertical="center"/>
    </xf>
    <xf numFmtId="10" fontId="0" fillId="0" borderId="0" xfId="3" applyNumberFormat="1" applyFont="1"/>
    <xf numFmtId="10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/>
    <xf numFmtId="0" fontId="0" fillId="0" borderId="0" xfId="0" applyAlignment="1">
      <alignment vertical="center" wrapText="1"/>
    </xf>
    <xf numFmtId="44" fontId="0" fillId="0" borderId="0" xfId="2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8" fillId="0" borderId="0" xfId="1" applyNumberFormat="1" applyFont="1"/>
    <xf numFmtId="2" fontId="0" fillId="0" borderId="0" xfId="0" applyNumberFormat="1"/>
    <xf numFmtId="2" fontId="8" fillId="0" borderId="0" xfId="0" applyNumberFormat="1" applyFont="1"/>
    <xf numFmtId="0" fontId="9" fillId="0" borderId="0" xfId="0" applyFont="1"/>
    <xf numFmtId="2" fontId="9" fillId="0" borderId="0" xfId="0" applyNumberFormat="1" applyFont="1"/>
    <xf numFmtId="10" fontId="9" fillId="0" borderId="0" xfId="0" applyNumberFormat="1" applyFont="1"/>
    <xf numFmtId="2" fontId="0" fillId="0" borderId="0" xfId="0" applyNumberFormat="1" applyAlignment="1">
      <alignment vertical="center" wrapText="1"/>
    </xf>
    <xf numFmtId="0" fontId="10" fillId="0" borderId="0" xfId="0" applyFont="1"/>
    <xf numFmtId="2" fontId="9" fillId="3" borderId="0" xfId="0" applyNumberFormat="1" applyFont="1" applyFill="1"/>
    <xf numFmtId="0" fontId="9" fillId="5" borderId="0" xfId="0" applyFont="1" applyFill="1"/>
    <xf numFmtId="0" fontId="9" fillId="4" borderId="0" xfId="0" applyFont="1" applyFill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5" fillId="0" borderId="0" xfId="0" applyFont="1"/>
    <xf numFmtId="0" fontId="10" fillId="0" borderId="0" xfId="0" applyFont="1" applyAlignment="1">
      <alignment horizontal="center" vertical="center"/>
    </xf>
    <xf numFmtId="2" fontId="14" fillId="5" borderId="0" xfId="0" applyNumberFormat="1" applyFont="1" applyFill="1" applyAlignment="1">
      <alignment horizontal="center" vertical="center"/>
    </xf>
    <xf numFmtId="10" fontId="10" fillId="5" borderId="0" xfId="0" applyNumberFormat="1" applyFont="1" applyFill="1"/>
    <xf numFmtId="0" fontId="9" fillId="0" borderId="0" xfId="0" applyFont="1" applyAlignment="1">
      <alignment vertical="center" wrapText="1"/>
    </xf>
    <xf numFmtId="9" fontId="16" fillId="0" borderId="0" xfId="3" applyFont="1"/>
    <xf numFmtId="9" fontId="9" fillId="0" borderId="0" xfId="3" applyFont="1"/>
    <xf numFmtId="44" fontId="14" fillId="0" borderId="0" xfId="0" applyNumberFormat="1" applyFont="1"/>
    <xf numFmtId="0" fontId="9" fillId="0" borderId="0" xfId="0" applyFont="1" applyBorder="1" applyAlignment="1">
      <alignment horizontal="right" vertical="center" wrapText="1"/>
    </xf>
    <xf numFmtId="0" fontId="16" fillId="0" borderId="0" xfId="0" applyFont="1" applyBorder="1"/>
    <xf numFmtId="0" fontId="9" fillId="0" borderId="0" xfId="0" applyFont="1" applyBorder="1"/>
    <xf numFmtId="0" fontId="9" fillId="0" borderId="0" xfId="0" applyFont="1" applyAlignment="1">
      <alignment horizontal="right" vertical="center" wrapText="1"/>
    </xf>
    <xf numFmtId="0" fontId="16" fillId="0" borderId="0" xfId="0" applyFont="1"/>
    <xf numFmtId="0" fontId="10" fillId="5" borderId="0" xfId="0" applyNumberFormat="1" applyFont="1" applyFill="1" applyAlignment="1">
      <alignment horizontal="right"/>
    </xf>
    <xf numFmtId="0" fontId="10" fillId="0" borderId="0" xfId="0" applyFont="1" applyAlignment="1">
      <alignment horizontal="right"/>
    </xf>
    <xf numFmtId="0" fontId="10" fillId="5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10" fontId="17" fillId="0" borderId="0" xfId="0" applyNumberFormat="1" applyFont="1"/>
    <xf numFmtId="0" fontId="9" fillId="0" borderId="0" xfId="0" applyFont="1" applyAlignment="1">
      <alignment horizontal="right" vertical="center"/>
    </xf>
    <xf numFmtId="0" fontId="9" fillId="0" borderId="0" xfId="0" applyFont="1" applyBorder="1" applyAlignment="1">
      <alignment vertical="center"/>
    </xf>
    <xf numFmtId="4" fontId="9" fillId="0" borderId="0" xfId="0" applyNumberFormat="1" applyFont="1" applyBorder="1" applyAlignment="1">
      <alignment vertical="center"/>
    </xf>
    <xf numFmtId="0" fontId="10" fillId="5" borderId="0" xfId="0" applyFont="1" applyFill="1" applyAlignment="1">
      <alignment horizontal="right" vertical="center" wrapText="1"/>
    </xf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right" vertical="center" textRotation="90"/>
    </xf>
    <xf numFmtId="2" fontId="19" fillId="5" borderId="0" xfId="0" applyNumberFormat="1" applyFont="1" applyFill="1"/>
    <xf numFmtId="14" fontId="9" fillId="5" borderId="0" xfId="0" applyNumberFormat="1" applyFont="1" applyFill="1" applyAlignment="1">
      <alignment horizontal="center" vertical="center"/>
    </xf>
    <xf numFmtId="168" fontId="10" fillId="5" borderId="0" xfId="0" applyNumberFormat="1" applyFont="1" applyFill="1"/>
    <xf numFmtId="168" fontId="20" fillId="3" borderId="0" xfId="0" applyNumberFormat="1" applyFont="1" applyFill="1" applyBorder="1" applyAlignment="1">
      <alignment horizontal="right"/>
    </xf>
    <xf numFmtId="168" fontId="20" fillId="3" borderId="0" xfId="3" applyNumberFormat="1" applyFont="1" applyFill="1" applyBorder="1" applyAlignment="1">
      <alignment horizontal="right"/>
    </xf>
    <xf numFmtId="43" fontId="2" fillId="3" borderId="0" xfId="1" applyFont="1" applyFill="1" applyBorder="1" applyAlignment="1">
      <alignment horizontal="right"/>
    </xf>
    <xf numFmtId="2" fontId="9" fillId="2" borderId="0" xfId="0" applyNumberFormat="1" applyFont="1" applyFill="1" applyAlignment="1">
      <alignment horizontal="right" vertical="center"/>
    </xf>
    <xf numFmtId="43" fontId="2" fillId="3" borderId="0" xfId="1" applyFont="1" applyFill="1"/>
    <xf numFmtId="43" fontId="21" fillId="3" borderId="0" xfId="1" applyFont="1" applyFill="1"/>
    <xf numFmtId="10" fontId="2" fillId="3" borderId="0" xfId="3" applyNumberFormat="1" applyFont="1" applyFill="1"/>
    <xf numFmtId="10" fontId="2" fillId="3" borderId="0" xfId="0" applyNumberFormat="1" applyFont="1" applyFill="1"/>
    <xf numFmtId="168" fontId="20" fillId="3" borderId="0" xfId="0" applyNumberFormat="1" applyFont="1" applyFill="1" applyBorder="1" applyAlignment="1">
      <alignment horizontal="right" vertical="center"/>
    </xf>
    <xf numFmtId="0" fontId="20" fillId="3" borderId="0" xfId="3" applyNumberFormat="1" applyFont="1" applyFill="1" applyBorder="1" applyAlignment="1">
      <alignment horizontal="right" vertical="center"/>
    </xf>
    <xf numFmtId="168" fontId="2" fillId="3" borderId="0" xfId="0" applyNumberFormat="1" applyFont="1" applyFill="1" applyBorder="1" applyAlignment="1">
      <alignment horizontal="right" vertical="center"/>
    </xf>
    <xf numFmtId="168" fontId="20" fillId="3" borderId="0" xfId="3" applyNumberFormat="1" applyFont="1" applyFill="1" applyBorder="1" applyAlignment="1">
      <alignment horizontal="right" vertical="center"/>
    </xf>
    <xf numFmtId="10" fontId="2" fillId="3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43" fontId="2" fillId="3" borderId="0" xfId="1" applyFont="1" applyFill="1" applyBorder="1" applyAlignment="1">
      <alignment horizontal="right" vertical="center"/>
    </xf>
    <xf numFmtId="10" fontId="20" fillId="3" borderId="0" xfId="0" applyNumberFormat="1" applyFont="1" applyFill="1" applyAlignment="1">
      <alignment horizontal="right" vertical="center"/>
    </xf>
    <xf numFmtId="10" fontId="20" fillId="3" borderId="0" xfId="0" applyNumberFormat="1" applyFont="1" applyFill="1" applyAlignment="1">
      <alignment vertical="center"/>
    </xf>
    <xf numFmtId="43" fontId="20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0" fontId="2" fillId="3" borderId="0" xfId="0" applyFont="1" applyFill="1" applyAlignment="1">
      <alignment vertical="center"/>
    </xf>
    <xf numFmtId="43" fontId="21" fillId="3" borderId="0" xfId="1" applyFont="1" applyFill="1" applyAlignment="1">
      <alignment vertical="center"/>
    </xf>
    <xf numFmtId="43" fontId="22" fillId="5" borderId="0" xfId="1" applyFont="1" applyFill="1" applyAlignment="1">
      <alignment vertical="center"/>
    </xf>
    <xf numFmtId="43" fontId="2" fillId="3" borderId="0" xfId="1" applyFont="1" applyFill="1" applyAlignment="1">
      <alignment horizontal="right"/>
    </xf>
    <xf numFmtId="9" fontId="23" fillId="3" borderId="0" xfId="0" applyNumberFormat="1" applyFont="1" applyFill="1"/>
    <xf numFmtId="43" fontId="2" fillId="3" borderId="0" xfId="1" applyFont="1" applyFill="1" applyAlignment="1">
      <alignment horizontal="right" vertical="center"/>
    </xf>
    <xf numFmtId="185" fontId="24" fillId="3" borderId="0" xfId="0" applyNumberFormat="1" applyFont="1" applyFill="1" applyAlignment="1">
      <alignment horizontal="right"/>
    </xf>
    <xf numFmtId="2" fontId="2" fillId="3" borderId="0" xfId="0" applyNumberFormat="1" applyFont="1" applyFill="1"/>
    <xf numFmtId="10" fontId="24" fillId="3" borderId="0" xfId="0" applyNumberFormat="1" applyFont="1" applyFill="1"/>
    <xf numFmtId="2" fontId="25" fillId="3" borderId="0" xfId="0" applyNumberFormat="1" applyFont="1" applyFill="1"/>
    <xf numFmtId="185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43" fontId="20" fillId="3" borderId="0" xfId="1" applyFont="1" applyFill="1" applyBorder="1" applyAlignment="1">
      <alignment horizontal="right"/>
    </xf>
    <xf numFmtId="9" fontId="20" fillId="3" borderId="0" xfId="0" applyNumberFormat="1" applyFont="1" applyFill="1" applyBorder="1" applyAlignment="1">
      <alignment horizontal="right"/>
    </xf>
    <xf numFmtId="9" fontId="20" fillId="3" borderId="0" xfId="3" applyFont="1" applyFill="1" applyBorder="1" applyAlignment="1">
      <alignment horizontal="right"/>
    </xf>
    <xf numFmtId="10" fontId="20" fillId="3" borderId="0" xfId="3" applyNumberFormat="1" applyFont="1" applyFill="1" applyBorder="1" applyAlignment="1">
      <alignment horizontal="right"/>
    </xf>
    <xf numFmtId="43" fontId="22" fillId="3" borderId="0" xfId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68" fontId="21" fillId="3" borderId="2" xfId="0" applyNumberFormat="1" applyFont="1" applyFill="1" applyBorder="1" applyAlignment="1" applyProtection="1">
      <alignment horizontal="right" vertical="center"/>
      <protection locked="0"/>
    </xf>
    <xf numFmtId="168" fontId="21" fillId="3" borderId="4" xfId="0" applyNumberFormat="1" applyFont="1" applyFill="1" applyBorder="1" applyAlignment="1" applyProtection="1">
      <alignment horizontal="right" vertical="center"/>
      <protection locked="0"/>
    </xf>
    <xf numFmtId="168" fontId="21" fillId="3" borderId="0" xfId="0" applyNumberFormat="1" applyFont="1" applyFill="1" applyBorder="1" applyAlignment="1" applyProtection="1">
      <alignment horizontal="right" vertical="center"/>
      <protection locked="0"/>
    </xf>
    <xf numFmtId="168" fontId="21" fillId="3" borderId="9" xfId="0" applyNumberFormat="1" applyFont="1" applyFill="1" applyBorder="1" applyAlignment="1" applyProtection="1">
      <alignment horizontal="right" vertical="center"/>
      <protection locked="0"/>
    </xf>
    <xf numFmtId="168" fontId="21" fillId="3" borderId="5" xfId="0" applyNumberFormat="1" applyFont="1" applyFill="1" applyBorder="1" applyAlignment="1" applyProtection="1">
      <alignment horizontal="right" vertical="center"/>
      <protection locked="0"/>
    </xf>
    <xf numFmtId="168" fontId="21" fillId="3" borderId="10" xfId="0" applyNumberFormat="1" applyFont="1" applyFill="1" applyBorder="1" applyAlignment="1" applyProtection="1">
      <alignment horizontal="right" vertical="center"/>
      <protection locked="0"/>
    </xf>
    <xf numFmtId="168" fontId="21" fillId="3" borderId="11" xfId="0" applyNumberFormat="1" applyFont="1" applyFill="1" applyBorder="1" applyAlignment="1" applyProtection="1">
      <alignment horizontal="right" vertical="center"/>
      <protection locked="0"/>
    </xf>
    <xf numFmtId="168" fontId="21" fillId="3" borderId="6" xfId="0" applyNumberFormat="1" applyFont="1" applyFill="1" applyBorder="1" applyAlignment="1" applyProtection="1">
      <alignment horizontal="right" vertical="center"/>
      <protection locked="0"/>
    </xf>
    <xf numFmtId="0" fontId="21" fillId="3" borderId="2" xfId="0" applyFont="1" applyFill="1" applyBorder="1" applyAlignment="1" applyProtection="1">
      <alignment horizontal="right" vertical="center"/>
      <protection locked="0"/>
    </xf>
    <xf numFmtId="0" fontId="21" fillId="3" borderId="7" xfId="0" applyFont="1" applyFill="1" applyBorder="1" applyAlignment="1" applyProtection="1">
      <alignment horizontal="right" vertical="center"/>
      <protection locked="0"/>
    </xf>
    <xf numFmtId="168" fontId="21" fillId="3" borderId="3" xfId="0" applyNumberFormat="1" applyFont="1" applyFill="1" applyBorder="1" applyAlignment="1" applyProtection="1">
      <alignment horizontal="right" vertical="center"/>
      <protection locked="0"/>
    </xf>
    <xf numFmtId="168" fontId="21" fillId="3" borderId="8" xfId="0" applyNumberFormat="1" applyFont="1" applyFill="1" applyBorder="1" applyAlignment="1" applyProtection="1">
      <alignment horizontal="right" vertical="center"/>
      <protection locked="0"/>
    </xf>
    <xf numFmtId="10" fontId="21" fillId="3" borderId="2" xfId="0" applyNumberFormat="1" applyFont="1" applyFill="1" applyBorder="1" applyAlignment="1" applyProtection="1">
      <alignment horizontal="right" vertical="center"/>
      <protection locked="0"/>
    </xf>
    <xf numFmtId="43" fontId="21" fillId="3" borderId="0" xfId="1" applyFont="1" applyFill="1" applyAlignment="1">
      <alignment horizontal="right" vertical="center"/>
    </xf>
    <xf numFmtId="9" fontId="21" fillId="3" borderId="0" xfId="0" applyNumberFormat="1" applyFont="1" applyFill="1" applyAlignment="1">
      <alignment horizontal="right" vertical="center"/>
    </xf>
    <xf numFmtId="168" fontId="2" fillId="3" borderId="0" xfId="3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68" fontId="21" fillId="3" borderId="0" xfId="3" applyNumberFormat="1" applyFont="1" applyFill="1" applyAlignment="1">
      <alignment horizontal="right" vertical="center"/>
    </xf>
    <xf numFmtId="0" fontId="26" fillId="0" borderId="0" xfId="0" applyFont="1"/>
    <xf numFmtId="0" fontId="2" fillId="0" borderId="0" xfId="0" applyFont="1" applyAlignment="1">
      <alignment horizontal="center" vertical="center" wrapText="1"/>
    </xf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left" vertical="center" indent="1"/>
    </xf>
    <xf numFmtId="0" fontId="9" fillId="5" borderId="0" xfId="0" applyNumberFormat="1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wrapText="1" indent="2"/>
    </xf>
    <xf numFmtId="0" fontId="9" fillId="5" borderId="0" xfId="0" applyFont="1" applyFill="1" applyBorder="1" applyAlignment="1">
      <alignment horizontal="left" vertical="center" wrapText="1" indent="3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center" vertical="center" wrapText="1"/>
    </xf>
    <xf numFmtId="10" fontId="21" fillId="3" borderId="14" xfId="0" applyNumberFormat="1" applyFont="1" applyFill="1" applyBorder="1" applyAlignment="1" applyProtection="1">
      <alignment horizontal="right" vertical="center"/>
      <protection locked="0"/>
    </xf>
    <xf numFmtId="0" fontId="9" fillId="5" borderId="0" xfId="0" applyNumberFormat="1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right"/>
    </xf>
    <xf numFmtId="0" fontId="9" fillId="5" borderId="0" xfId="0" applyNumberFormat="1" applyFont="1" applyFill="1" applyAlignment="1">
      <alignment horizontal="left" indent="1"/>
    </xf>
    <xf numFmtId="0" fontId="9" fillId="5" borderId="0" xfId="0" applyFont="1" applyFill="1" applyAlignment="1">
      <alignment horizontal="left" indent="1"/>
    </xf>
    <xf numFmtId="0" fontId="9" fillId="5" borderId="0" xfId="0" applyFont="1" applyFill="1" applyAlignment="1">
      <alignment horizontal="left" indent="3"/>
    </xf>
    <xf numFmtId="43" fontId="9" fillId="5" borderId="0" xfId="1" applyFont="1" applyFill="1" applyAlignment="1">
      <alignment horizontal="left" indent="2"/>
    </xf>
    <xf numFmtId="0" fontId="27" fillId="5" borderId="0" xfId="0" applyFont="1" applyFill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27" fillId="5" borderId="12" xfId="0" applyFont="1" applyFill="1" applyBorder="1" applyAlignment="1">
      <alignment horizontal="left" vertical="center" wrapText="1"/>
    </xf>
    <xf numFmtId="0" fontId="27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 wrapText="1"/>
    </xf>
    <xf numFmtId="0" fontId="27" fillId="5" borderId="0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/>
    </xf>
    <xf numFmtId="43" fontId="22" fillId="3" borderId="0" xfId="1" applyFont="1" applyFill="1"/>
    <xf numFmtId="0" fontId="28" fillId="0" borderId="0" xfId="0" applyFont="1" applyAlignment="1">
      <alignment horizontal="center" wrapText="1"/>
    </xf>
    <xf numFmtId="43" fontId="20" fillId="3" borderId="0" xfId="1" applyFont="1" applyFill="1" applyAlignment="1">
      <alignment horizontal="right"/>
    </xf>
    <xf numFmtId="10" fontId="10" fillId="5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21" fillId="3" borderId="4" xfId="0" applyFont="1" applyFill="1" applyBorder="1" applyAlignment="1" applyProtection="1">
      <alignment horizontal="right" vertical="center"/>
      <protection locked="0"/>
    </xf>
    <xf numFmtId="0" fontId="21" fillId="3" borderId="9" xfId="0" applyFont="1" applyFill="1" applyBorder="1" applyAlignment="1" applyProtection="1">
      <alignment horizontal="right" vertical="center"/>
      <protection locked="0"/>
    </xf>
    <xf numFmtId="0" fontId="21" fillId="3" borderId="5" xfId="0" applyFont="1" applyFill="1" applyBorder="1" applyAlignment="1" applyProtection="1">
      <alignment horizontal="right" vertical="center"/>
      <protection locked="0"/>
    </xf>
    <xf numFmtId="0" fontId="21" fillId="3" borderId="11" xfId="0" applyFont="1" applyFill="1" applyBorder="1" applyAlignment="1" applyProtection="1">
      <alignment horizontal="right" vertical="center"/>
      <protection locked="0"/>
    </xf>
    <xf numFmtId="0" fontId="21" fillId="3" borderId="0" xfId="0" applyFont="1" applyFill="1" applyBorder="1" applyAlignment="1" applyProtection="1">
      <alignment horizontal="right" vertical="center"/>
      <protection locked="0"/>
    </xf>
    <xf numFmtId="168" fontId="2" fillId="3" borderId="11" xfId="3" applyNumberFormat="1" applyFont="1" applyFill="1" applyBorder="1" applyAlignment="1" applyProtection="1">
      <alignment horizontal="right" vertical="center"/>
    </xf>
    <xf numFmtId="168" fontId="2" fillId="3" borderId="2" xfId="3" applyNumberFormat="1" applyFont="1" applyFill="1" applyBorder="1" applyAlignment="1" applyProtection="1">
      <alignment horizontal="right" vertical="center"/>
    </xf>
    <xf numFmtId="168" fontId="2" fillId="3" borderId="5" xfId="3" applyNumberFormat="1" applyFont="1" applyFill="1" applyBorder="1" applyAlignment="1" applyProtection="1">
      <alignment horizontal="right" vertical="center"/>
    </xf>
  </cellXfs>
  <cellStyles count="4">
    <cellStyle name="Dziesiętny" xfId="1" builtinId="3"/>
    <cellStyle name="Normalny" xfId="0" builtinId="0"/>
    <cellStyle name="Procentowy" xfId="3" builtinId="5"/>
    <cellStyle name="Walutowy" xfId="2" builtinId="4"/>
  </cellStyles>
  <dxfs count="35"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Przychody</a:t>
            </a:r>
            <a:r>
              <a:rPr lang="pl-PL" baseline="0"/>
              <a:t> &amp; Marża 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RZiS!$C$50</c:f>
              <c:strCache>
                <c:ptCount val="1"/>
                <c:pt idx="0">
                  <c:v>Przychody ze sprzedaży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RZiS!$D$49:$I$49</c:f>
              <c:strCache>
                <c:ptCount val="6"/>
                <c:pt idx="0">
                  <c:v>LTM 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RZiS!$D$50:$I$50</c:f>
              <c:numCache>
                <c:formatCode>0.00</c:formatCode>
                <c:ptCount val="6"/>
                <c:pt idx="0">
                  <c:v>32490.261999999999</c:v>
                </c:pt>
                <c:pt idx="1">
                  <c:v>33372.122880000003</c:v>
                </c:pt>
                <c:pt idx="2">
                  <c:v>37643.754608640003</c:v>
                </c:pt>
                <c:pt idx="3">
                  <c:v>41972.786388633605</c:v>
                </c:pt>
                <c:pt idx="4">
                  <c:v>46128.09224110833</c:v>
                </c:pt>
                <c:pt idx="5">
                  <c:v>50002.851989361436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5-44D7-9439-C20AA2C0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99402207"/>
        <c:axId val="599393567"/>
      </c:barChart>
      <c:lineChart>
        <c:grouping val="standard"/>
        <c:varyColors val="0"/>
        <c:ser>
          <c:idx val="2"/>
          <c:order val="1"/>
          <c:tx>
            <c:strRef>
              <c:f>RZiS!$C$52</c:f>
              <c:strCache>
                <c:ptCount val="1"/>
                <c:pt idx="0">
                  <c:v>Marża EBIT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RZiS!$D$49:$I$49</c:f>
              <c:strCache>
                <c:ptCount val="6"/>
                <c:pt idx="0">
                  <c:v>LTM 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RZiS!$D$52:$I$52</c:f>
              <c:numCache>
                <c:formatCode>0.00%</c:formatCode>
                <c:ptCount val="6"/>
                <c:pt idx="0">
                  <c:v>6.4179168515169249E-2</c:v>
                </c:pt>
                <c:pt idx="1">
                  <c:v>6.5000000000000002E-2</c:v>
                </c:pt>
                <c:pt idx="2">
                  <c:v>6.4000000000000001E-2</c:v>
                </c:pt>
                <c:pt idx="3">
                  <c:v>6.2E-2</c:v>
                </c:pt>
                <c:pt idx="4">
                  <c:v>6.0999999999999999E-2</c:v>
                </c:pt>
                <c:pt idx="5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5-44D7-9439-C20AA2C0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397407"/>
        <c:axId val="599404127"/>
      </c:lineChart>
      <c:catAx>
        <c:axId val="59940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93567"/>
        <c:crosses val="autoZero"/>
        <c:auto val="1"/>
        <c:lblAlgn val="ctr"/>
        <c:lblOffset val="100"/>
        <c:noMultiLvlLbl val="0"/>
      </c:catAx>
      <c:valAx>
        <c:axId val="5993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Przychody</a:t>
                </a:r>
                <a:r>
                  <a:rPr lang="pl-PL" baseline="0"/>
                  <a:t> ze sprzedaży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02207"/>
        <c:crosses val="autoZero"/>
        <c:crossBetween val="between"/>
      </c:valAx>
      <c:valAx>
        <c:axId val="599404127"/>
        <c:scaling>
          <c:orientation val="minMax"/>
          <c:min val="4.0000000000000008E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Marża</a:t>
                </a:r>
                <a:r>
                  <a:rPr lang="pl-PL" baseline="0"/>
                  <a:t> EBIT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97407"/>
        <c:crosses val="max"/>
        <c:crossBetween val="between"/>
      </c:valAx>
      <c:catAx>
        <c:axId val="599397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94041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12</xdr:row>
      <xdr:rowOff>31600</xdr:rowOff>
    </xdr:from>
    <xdr:to>
      <xdr:col>3</xdr:col>
      <xdr:colOff>990600</xdr:colOff>
      <xdr:row>25</xdr:row>
      <xdr:rowOff>1120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E80A7AF-6FA3-A4D8-CCE2-82F564728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3DE0F654-B503-4682-9FB7-08DE589DB6D5}" autoFormatId="16" applyNumberFormats="0" applyBorderFormats="0" applyFontFormats="0" applyPatternFormats="0" applyAlignmentFormats="0" applyWidthHeightFormats="0">
  <queryTableRefresh nextId="14">
    <queryTableFields count="7">
      <queryTableField id="1" name="Column1" tableColumnId="1"/>
      <queryTableField id="6" name="2020" tableColumnId="6"/>
      <queryTableField id="5" name="2021" tableColumnId="5"/>
      <queryTableField id="4" name="2022" tableColumnId="4"/>
      <queryTableField id="3" name="2023" tableColumnId="3"/>
      <queryTableField id="2" name="2024" tableColumnId="2"/>
      <queryTableField id="7" name="Company Financials.2024Q4-2025Q3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62BDEB5-017A-4193-A876-FC26E70E0F5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2020_x000a__x0009__x0009__x0009__x0009__x0009__x0009__x0009__x0009__x0009__x0009_(gru 20)" tableColumnId="2"/>
      <queryTableField id="3" name="2021_x000a__x0009__x0009__x0009__x0009__x0009__x0009__x0009__x0009__x0009__x0009_(gru 21)" tableColumnId="3"/>
      <queryTableField id="4" name="2022_x000a__x0009__x0009__x0009__x0009__x0009__x0009__x0009__x0009__x0009__x0009_(gru 22)" tableColumnId="4"/>
      <queryTableField id="5" name="2023_x000a__x0009__x0009__x0009__x0009__x0009__x0009__x0009__x0009__x0009__x0009_(gru 23)" tableColumnId="5"/>
      <queryTableField id="6" name="2024_x000a__x0009__x0009__x0009__x0009__x0009__x0009__x0009__x0009__x0009__x0009_(gru 24)" tableColumnId="6"/>
      <queryTableField id="7" name="O4K_x000a__x0009__x0009__x0009__x0009__x0009__x0009__x0009__x0009__x0009__x0009__x0009__x0009__x0009__x0009__x0009__x0009_(wrz 25)*" tableColumnId="7"/>
      <queryTableField id="8" name="_1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F00217-CA1C-44EA-A307-E5C8E74EBE2B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EMIS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8C0668A-59F6-4304-B6B6-C60A5529B6E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2020_x000a__x0009__x0009__x0009__x0009__x0009__x0009__x0009__x0009__x0009__x0009_(gru 20)" tableColumnId="2"/>
      <queryTableField id="3" name="2021_x000a__x0009__x0009__x0009__x0009__x0009__x0009__x0009__x0009__x0009__x0009_(gru 21)" tableColumnId="3"/>
      <queryTableField id="4" name="2022_x000a__x0009__x0009__x0009__x0009__x0009__x0009__x0009__x0009__x0009__x0009_(gru 22)" tableColumnId="4"/>
      <queryTableField id="5" name="2023_x000a__x0009__x0009__x0009__x0009__x0009__x0009__x0009__x0009__x0009__x0009_(gru 23)" tableColumnId="5"/>
      <queryTableField id="6" name="2024_x000a__x0009__x0009__x0009__x0009__x0009__x0009__x0009__x0009__x0009__x0009_(gru 24)" tableColumnId="6"/>
      <queryTableField id="7" name="O4K_x000a__x0009__x0009__x0009__x0009__x0009__x0009__x0009__x0009__x0009__x0009__x0009__x0009__x0009__x0009__x0009__x0009_(wrz 25)*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695926B-CFDB-4C26-92B9-D14244AA5FAD}" autoFormatId="16" applyNumberFormats="0" applyBorderFormats="0" applyFontFormats="0" applyPatternFormats="0" applyAlignmentFormats="0" applyWidthHeightFormats="0">
  <queryTableRefresh nextId="7">
    <queryTableFields count="6">
      <queryTableField id="1" name="Rachunek zysków i strat " tableColumnId="1"/>
      <queryTableField id="2" name="2024 " tableColumnId="2"/>
      <queryTableField id="3" name="2023 " tableColumnId="3"/>
      <queryTableField id="4" name="2022 " tableColumnId="4"/>
      <queryTableField id="5" name="2021 " tableColumnId="5"/>
      <queryTableField id="6" name="2020 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F76243-7106-46AC-BBB1-029267B34A78}" name="NWC" displayName="NWC" ref="A1:G6" tableType="queryTable" totalsRowShown="0">
  <autoFilter ref="A1:G6" xr:uid="{EFF76243-7106-46AC-BBB1-029267B34A78}"/>
  <tableColumns count="7">
    <tableColumn id="1" xr3:uid="{5FEC03E7-BE3F-4DDB-AF05-03633B5E9E0D}" uniqueName="1" name="Column1" queryTableFieldId="1" dataDxfId="5"/>
    <tableColumn id="6" xr3:uid="{E88704F4-9F60-408B-8D80-B363FB8F0AB7}" uniqueName="6" name="2020" queryTableFieldId="6" dataDxfId="1"/>
    <tableColumn id="5" xr3:uid="{456DC9B0-EE87-469A-9A0F-A8820CEE853C}" uniqueName="5" name="2021" queryTableFieldId="5"/>
    <tableColumn id="4" xr3:uid="{6CB6B5C5-A01A-4515-A015-4F562E3FB800}" uniqueName="4" name="2022" queryTableFieldId="4"/>
    <tableColumn id="3" xr3:uid="{142E7836-6A83-4D6A-8542-968D5B39754F}" uniqueName="3" name="2023" queryTableFieldId="3"/>
    <tableColumn id="2" xr3:uid="{53C3DFFF-53E6-4F22-91AB-AE5F9B9C7FEE}" uniqueName="2" name="2024" queryTableFieldId="2"/>
    <tableColumn id="7" xr3:uid="{CA958474-A4E2-4492-A77D-1A173A72D8F8}" uniqueName="7" name="2024Q4-2025Q3" queryTableFieldId="7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E0045-F113-48AD-8133-CA697CEA10D7}" name="Tabela_1" displayName="Tabela_1" ref="A1:H12" tableType="queryTable" totalsRowShown="0">
  <autoFilter ref="A1:H12" xr:uid="{67FE0045-F113-48AD-8133-CA697CEA10D7}"/>
  <tableColumns count="8">
    <tableColumn id="1" xr3:uid="{3AAE21C3-2FBE-40B1-ADD1-883667D6C4A1}" uniqueName="1" name="Column1" queryTableFieldId="1" dataDxfId="27"/>
    <tableColumn id="2" xr3:uid="{D022E2C8-94CC-4290-B90E-7BD3CFDD55C6}" uniqueName="2" name="2020_x000a__x0009__x0009__x0009__x0009__x0009__x0009__x0009__x0009__x0009__x0009_(gru 20)" queryTableFieldId="2" dataDxfId="26"/>
    <tableColumn id="3" xr3:uid="{9A23D2F2-40BE-47A6-B2FF-44A051FBDCAE}" uniqueName="3" name="2021_x000a__x0009__x0009__x0009__x0009__x0009__x0009__x0009__x0009__x0009__x0009_(gru 21)" queryTableFieldId="3" dataDxfId="25"/>
    <tableColumn id="4" xr3:uid="{523F039F-6CC1-498F-8858-25D1B907F048}" uniqueName="4" name="2022_x000a__x0009__x0009__x0009__x0009__x0009__x0009__x0009__x0009__x0009__x0009_(gru 22)" queryTableFieldId="4" dataDxfId="24"/>
    <tableColumn id="5" xr3:uid="{F45B6776-24C1-4F7C-950F-FD1017F56426}" uniqueName="5" name="2023_x000a__x0009__x0009__x0009__x0009__x0009__x0009__x0009__x0009__x0009__x0009_(gru 23)" queryTableFieldId="5" dataDxfId="23"/>
    <tableColumn id="6" xr3:uid="{C1BC6A92-1AE8-4E4D-96D7-241825C99FF4}" uniqueName="6" name="2024_x000a__x0009__x0009__x0009__x0009__x0009__x0009__x0009__x0009__x0009__x0009_(gru 24)" queryTableFieldId="6" dataDxfId="22"/>
    <tableColumn id="7" xr3:uid="{96F3A28C-A6A2-46B9-B489-0E895561DFC5}" uniqueName="7" name="O4K_x000a__x0009__x0009__x0009__x0009__x0009__x0009__x0009__x0009__x0009__x0009__x0009__x0009__x0009__x0009__x0009__x0009_(wrz 25)*" queryTableFieldId="7" dataDxfId="21"/>
    <tableColumn id="8" xr3:uid="{3AE04E37-5C38-452D-BA68-A27649F4EB68}" uniqueName="8" name="Kolumna1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A97A01-8FC0-40CF-A846-21D793C864BB}" name="Tabela_15" displayName="Tabela_15" ref="A14:H25" totalsRowShown="0">
  <autoFilter ref="A14:H25" xr:uid="{25A97A01-8FC0-40CF-A846-21D793C864BB}"/>
  <tableColumns count="8">
    <tableColumn id="1" xr3:uid="{98D2983D-11E9-4EEC-8453-E0E96F5F69E4}" name="Column1" dataDxfId="20"/>
    <tableColumn id="2" xr3:uid="{993FAFA1-A856-48D9-85E0-E797C3B6D83F}" name="2020_x000a__x0009__x0009__x0009__x0009__x0009__x0009__x0009__x0009__x0009__x0009_(gru 20)" dataDxfId="19"/>
    <tableColumn id="3" xr3:uid="{52DBB8A3-55FB-4D24-BA72-DEFE1A08D66D}" name="2021_x000a__x0009__x0009__x0009__x0009__x0009__x0009__x0009__x0009__x0009__x0009_(gru 21)" dataDxfId="18"/>
    <tableColumn id="4" xr3:uid="{A4E8BCC8-4F38-4F6B-AEAC-FDD2A517D2D2}" name="2022_x000a__x0009__x0009__x0009__x0009__x0009__x0009__x0009__x0009__x0009__x0009_(gru 22)" dataDxfId="17"/>
    <tableColumn id="5" xr3:uid="{649F8BE4-B56A-479D-8482-AC0C742F00D7}" name="2023_x000a__x0009__x0009__x0009__x0009__x0009__x0009__x0009__x0009__x0009__x0009_(gru 23)" dataDxfId="16"/>
    <tableColumn id="6" xr3:uid="{F7E004E4-3488-49DA-922F-CF87ACF5E8EA}" name="2024_x000a__x0009__x0009__x0009__x0009__x0009__x0009__x0009__x0009__x0009__x0009_(gru 24)" dataDxfId="15"/>
    <tableColumn id="7" xr3:uid="{025D7AC5-EB9E-45BA-9253-0902A6FEF2BC}" name="O4K_x000a__x0009__x0009__x0009__x0009__x0009__x0009__x0009__x0009__x0009__x0009__x0009__x0009__x0009__x0009__x0009__x0009_(wrz 25)*" dataDxfId="14"/>
    <tableColumn id="8" xr3:uid="{1645FC8C-146A-4D27-BC8A-1285BC23D177}" name="Kolumna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A40BF4-4C47-49FB-BEA2-F8AAA7224832}" name="ETR" displayName="ETR" ref="A1:F5" tableType="queryTable" totalsRowCount="1">
  <autoFilter ref="A1:F4" xr:uid="{5BA40BF4-4C47-49FB-BEA2-F8AAA7224832}"/>
  <tableColumns count="6">
    <tableColumn id="1" xr3:uid="{B664C44D-F74F-4B55-BE11-17AB74E6B7A5}" uniqueName="1" name="Column1" queryTableFieldId="1" dataDxfId="4" totalsRowDxfId="3"/>
    <tableColumn id="2" xr3:uid="{446B69E4-9CD7-45F9-B21B-D694505EC271}" uniqueName="2" name="2020" queryTableFieldId="2"/>
    <tableColumn id="3" xr3:uid="{1BCBA00E-1D12-495F-B9AF-535D54F5EA37}" uniqueName="3" name="2021" queryTableFieldId="3"/>
    <tableColumn id="4" xr3:uid="{26BEAA85-C2EA-4D18-A8C4-619683A8BE9F}" uniqueName="4" name="2022" queryTableFieldId="4" totalsRowDxfId="2"/>
    <tableColumn id="5" xr3:uid="{836B0555-6BF2-4ECA-846D-BF2BD407D39A}" uniqueName="5" name="2023" queryTableFieldId="5"/>
    <tableColumn id="6" xr3:uid="{77E44786-EE32-488A-ADE2-9F22040DE25C}" uniqueName="6" name="2024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08EB2-2E78-4649-8A69-E3D2BD853EA6}" name="Tabela_2" displayName="Tabela_2" ref="A1:G18" tableType="queryTable" totalsRowShown="0">
  <autoFilter ref="A1:G18" xr:uid="{B4E08EB2-2E78-4649-8A69-E3D2BD853EA6}"/>
  <tableColumns count="7">
    <tableColumn id="1" xr3:uid="{5A40BF4D-FDB7-47B2-AB39-479B9FCA22F1}" uniqueName="1" name="Column1" queryTableFieldId="1" dataDxfId="34"/>
    <tableColumn id="2" xr3:uid="{27A87846-77C2-4927-B070-1773D5D55DC8}" uniqueName="2" name="2020_x000a__x0009__x0009__x0009__x0009__x0009__x0009__x0009__x0009__x0009__x0009_(gru 20)" queryTableFieldId="2" dataDxfId="33" dataCellStyle="Dziesiętny"/>
    <tableColumn id="3" xr3:uid="{1D8C0F05-C78E-41E4-B217-406102E3F944}" uniqueName="3" name="2021_x000a__x0009__x0009__x0009__x0009__x0009__x0009__x0009__x0009__x0009__x0009_(gru 21)" queryTableFieldId="3" dataDxfId="32" dataCellStyle="Dziesiętny"/>
    <tableColumn id="4" xr3:uid="{62B8D879-284D-49CB-981B-276B909401C7}" uniqueName="4" name="2022_x000a__x0009__x0009__x0009__x0009__x0009__x0009__x0009__x0009__x0009__x0009_(gru 22)" queryTableFieldId="4" dataDxfId="31" dataCellStyle="Dziesiętny"/>
    <tableColumn id="5" xr3:uid="{CCAE5FC9-D39A-46F9-9887-D41E451FA96F}" uniqueName="5" name="2023_x000a__x0009__x0009__x0009__x0009__x0009__x0009__x0009__x0009__x0009__x0009_(gru 23)" queryTableFieldId="5" dataDxfId="30" dataCellStyle="Dziesiętny"/>
    <tableColumn id="6" xr3:uid="{3281ADC5-21EA-4542-80E3-9F147C58420B}" uniqueName="6" name="2024_x000a__x0009__x0009__x0009__x0009__x0009__x0009__x0009__x0009__x0009__x0009_(gru 24)" queryTableFieldId="6" dataDxfId="29" dataCellStyle="Dziesiętny"/>
    <tableColumn id="7" xr3:uid="{5EFC892D-ED3F-4F3F-B48E-635E83FDD651}" uniqueName="7" name="O4K_x000a__x0009__x0009__x0009__x0009__x0009__x0009__x0009__x0009__x0009__x0009__x0009__x0009__x0009__x0009__x0009__x0009_(wrz 25)*" queryTableFieldId="7" dataDxfId="28" dataCellStyle="Dziesiętny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BEACC8-E9AB-43B5-97DF-98226FF2ADC6}" name="Tabela_236" displayName="Tabela_236" ref="A21:G38" totalsRowShown="0" dataCellStyle="Dziesiętny">
  <autoFilter ref="A21:G38" xr:uid="{8BBEACC8-E9AB-43B5-97DF-98226FF2ADC6}"/>
  <tableColumns count="7">
    <tableColumn id="1" xr3:uid="{E2BD0983-904F-4787-85FF-143097B9FEF8}" name="Column1" dataDxfId="13"/>
    <tableColumn id="2" xr3:uid="{99445842-6E08-4C97-8838-396B6F74BED9}" name="2020_x000a__x0009__x0009__x0009__x0009__x0009__x0009__x0009__x0009__x0009__x0009_(gru 20)" dataDxfId="12" dataCellStyle="Dziesiętny"/>
    <tableColumn id="3" xr3:uid="{6D9F2FDD-F18D-44AA-9C21-3D1D39F7C139}" name="2021_x000a__x0009__x0009__x0009__x0009__x0009__x0009__x0009__x0009__x0009__x0009_(gru 21)" dataDxfId="11" dataCellStyle="Dziesiętny"/>
    <tableColumn id="4" xr3:uid="{B30461A1-D9A0-4CF2-A696-F99CF5DCE1D0}" name="2022_x000a__x0009__x0009__x0009__x0009__x0009__x0009__x0009__x0009__x0009__x0009_(gru 22)" dataDxfId="10" dataCellStyle="Dziesiętny"/>
    <tableColumn id="5" xr3:uid="{C9F197E7-AC52-49F1-8C87-9DAFBCA8D9F9}" name="2023_x000a__x0009__x0009__x0009__x0009__x0009__x0009__x0009__x0009__x0009__x0009_(gru 23)" dataDxfId="9" dataCellStyle="Dziesiętny"/>
    <tableColumn id="6" xr3:uid="{C0C083A8-813C-4466-8D2B-002C7D578DAC}" name="2024_x000a__x0009__x0009__x0009__x0009__x0009__x0009__x0009__x0009__x0009__x0009_(gru 24)" dataDxfId="8" dataCellStyle="Dziesiętny"/>
    <tableColumn id="7" xr3:uid="{614ADFC1-08A4-4C3D-A864-CF734E8F2396}" name="O4K_x000a__x0009__x0009__x0009__x0009__x0009__x0009__x0009__x0009__x0009__x0009__x0009__x0009__x0009__x0009__x0009__x0009_(wrz 25)*" dataDxfId="7" dataCellStyle="Dziesiętny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EE7257-19CD-4250-BEF2-84A215FB7B50}" name="RZIS_2" displayName="RZIS_2" ref="A1:F88" tableType="queryTable" totalsRowShown="0">
  <autoFilter ref="A1:F88" xr:uid="{1AEE7257-19CD-4250-BEF2-84A215FB7B50}"/>
  <tableColumns count="6">
    <tableColumn id="1" xr3:uid="{61C26307-5EDE-4BE1-BDD3-F5C8D5D70305}" uniqueName="1" name="Rachunek zysków i strat " queryTableFieldId="1" dataDxfId="0"/>
    <tableColumn id="2" xr3:uid="{5AB13C7A-6B11-4980-87F4-2915310B1887}" uniqueName="2" name="2024 " queryTableFieldId="2"/>
    <tableColumn id="3" xr3:uid="{45C796FD-13C3-4705-B27B-9201352C4AFC}" uniqueName="3" name="2023 " queryTableFieldId="3"/>
    <tableColumn id="4" xr3:uid="{EB218616-2C29-4C50-B5CC-693A295275E2}" uniqueName="4" name="2022 " queryTableFieldId="4"/>
    <tableColumn id="5" xr3:uid="{E5C7B1B5-A0E2-4BD1-94F1-43C1D3A7A143}" uniqueName="5" name="2021 " queryTableFieldId="5"/>
    <tableColumn id="6" xr3:uid="{8F711475-AD5F-494E-A13D-4E724C9CE0B6}" uniqueName="6" name="2020 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89F5-16B7-4367-B852-C6C7A6A0921E}">
  <dimension ref="A1:G6"/>
  <sheetViews>
    <sheetView workbookViewId="0"/>
  </sheetViews>
  <sheetFormatPr defaultRowHeight="14.4" x14ac:dyDescent="0.3"/>
  <cols>
    <col min="1" max="1" width="39.33203125" bestFit="1" customWidth="1"/>
    <col min="2" max="2" width="16.6640625" bestFit="1" customWidth="1"/>
    <col min="3" max="3" width="9" bestFit="1" customWidth="1"/>
    <col min="4" max="7" width="8.6640625" bestFit="1" customWidth="1"/>
  </cols>
  <sheetData>
    <row r="1" spans="1:7" x14ac:dyDescent="0.3">
      <c r="A1" t="s">
        <v>0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99</v>
      </c>
    </row>
    <row r="2" spans="1:7" x14ac:dyDescent="0.3">
      <c r="A2" s="3" t="s">
        <v>149</v>
      </c>
      <c r="B2">
        <v>-251.15199999999999</v>
      </c>
      <c r="C2">
        <v>-498.31599999999997</v>
      </c>
      <c r="D2">
        <v>-605.31500000000005</v>
      </c>
      <c r="E2">
        <v>-660.08100000000002</v>
      </c>
      <c r="F2">
        <v>-424.12299999999999</v>
      </c>
      <c r="G2">
        <v>21.382000000000001</v>
      </c>
    </row>
    <row r="3" spans="1:7" x14ac:dyDescent="0.3">
      <c r="A3" s="3" t="s">
        <v>150</v>
      </c>
      <c r="B3">
        <v>-43.201000000000001</v>
      </c>
      <c r="C3">
        <v>-24.88</v>
      </c>
      <c r="D3">
        <v>14.54</v>
      </c>
      <c r="E3">
        <v>-54.667999999999999</v>
      </c>
      <c r="F3">
        <v>-55.966000000000001</v>
      </c>
      <c r="G3">
        <v>245.12899999999999</v>
      </c>
    </row>
    <row r="4" spans="1:7" x14ac:dyDescent="0.3">
      <c r="A4" s="3" t="s">
        <v>157</v>
      </c>
      <c r="B4">
        <v>13.06</v>
      </c>
      <c r="C4">
        <v>14.733000000000001</v>
      </c>
      <c r="D4">
        <v>25.225999999999999</v>
      </c>
      <c r="E4">
        <v>42.634</v>
      </c>
      <c r="F4">
        <v>0</v>
      </c>
      <c r="G4">
        <v>0</v>
      </c>
    </row>
    <row r="5" spans="1:7" x14ac:dyDescent="0.3">
      <c r="A5" s="3" t="s">
        <v>151</v>
      </c>
      <c r="B5">
        <v>197.916</v>
      </c>
      <c r="C5">
        <v>728.44899999999996</v>
      </c>
      <c r="D5">
        <v>366.50200000000001</v>
      </c>
      <c r="E5">
        <v>42.634</v>
      </c>
      <c r="F5">
        <v>1126.3520000000001</v>
      </c>
      <c r="G5">
        <v>-202.93199999999999</v>
      </c>
    </row>
    <row r="6" spans="1:7" x14ac:dyDescent="0.3">
      <c r="A6" s="3" t="s">
        <v>163</v>
      </c>
      <c r="B6">
        <f>-SUM(B2:B5)</f>
        <v>83.37700000000001</v>
      </c>
      <c r="C6">
        <f t="shared" ref="C6:G6" si="0">-SUM(C2:C5)</f>
        <v>-219.98599999999993</v>
      </c>
      <c r="D6">
        <f t="shared" si="0"/>
        <v>199.04700000000008</v>
      </c>
      <c r="E6">
        <f t="shared" si="0"/>
        <v>629.48099999999999</v>
      </c>
      <c r="F6">
        <f t="shared" si="0"/>
        <v>-646.26300000000015</v>
      </c>
      <c r="G6">
        <f t="shared" si="0"/>
        <v>-63.578999999999979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45D4-E8EA-4E52-9658-35BA1B7E071F}">
  <dimension ref="A1:H25"/>
  <sheetViews>
    <sheetView topLeftCell="A7" workbookViewId="0"/>
  </sheetViews>
  <sheetFormatPr defaultRowHeight="14.4" x14ac:dyDescent="0.3"/>
  <cols>
    <col min="1" max="1" width="39.5546875" bestFit="1" customWidth="1"/>
    <col min="2" max="6" width="22.21875" bestFit="1" customWidth="1"/>
    <col min="7" max="7" width="27.8867187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148</v>
      </c>
    </row>
    <row r="2" spans="1:8" x14ac:dyDescent="0.3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1" t="s">
        <v>106</v>
      </c>
    </row>
    <row r="3" spans="1:8" x14ac:dyDescent="0.3">
      <c r="A3" s="1" t="s">
        <v>108</v>
      </c>
      <c r="B3" s="1" t="s">
        <v>109</v>
      </c>
      <c r="C3" s="1" t="s">
        <v>110</v>
      </c>
      <c r="D3" s="1" t="s">
        <v>111</v>
      </c>
      <c r="E3" s="1" t="s">
        <v>112</v>
      </c>
      <c r="F3" s="1" t="s">
        <v>113</v>
      </c>
      <c r="G3" s="1" t="s">
        <v>114</v>
      </c>
    </row>
    <row r="4" spans="1:8" x14ac:dyDescent="0.3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1" t="s">
        <v>121</v>
      </c>
    </row>
    <row r="5" spans="1:8" x14ac:dyDescent="0.3">
      <c r="A5" s="1" t="s">
        <v>122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</row>
    <row r="6" spans="1:8" x14ac:dyDescent="0.3">
      <c r="A6" s="1" t="s">
        <v>129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</row>
    <row r="7" spans="1:8" x14ac:dyDescent="0.3">
      <c r="A7" s="1" t="s">
        <v>136</v>
      </c>
      <c r="B7" s="1" t="s">
        <v>78</v>
      </c>
      <c r="C7" s="1" t="s">
        <v>78</v>
      </c>
      <c r="D7" s="1" t="s">
        <v>78</v>
      </c>
      <c r="E7" s="1" t="s">
        <v>78</v>
      </c>
      <c r="F7" s="1" t="s">
        <v>78</v>
      </c>
      <c r="G7" s="1" t="s">
        <v>78</v>
      </c>
    </row>
    <row r="8" spans="1:8" x14ac:dyDescent="0.3">
      <c r="A8" s="1" t="s">
        <v>137</v>
      </c>
      <c r="B8" s="1" t="s">
        <v>78</v>
      </c>
      <c r="C8" s="1" t="s">
        <v>78</v>
      </c>
      <c r="D8" s="1" t="s">
        <v>78</v>
      </c>
      <c r="E8" s="1" t="s">
        <v>78</v>
      </c>
      <c r="F8" s="1" t="s">
        <v>78</v>
      </c>
      <c r="G8" s="1" t="s">
        <v>78</v>
      </c>
    </row>
    <row r="9" spans="1:8" x14ac:dyDescent="0.3">
      <c r="A9" s="1" t="s">
        <v>138</v>
      </c>
      <c r="B9" s="1" t="s">
        <v>107</v>
      </c>
      <c r="C9" s="1" t="s">
        <v>107</v>
      </c>
      <c r="D9" s="1" t="s">
        <v>107</v>
      </c>
      <c r="E9" s="1" t="s">
        <v>107</v>
      </c>
      <c r="F9" s="1" t="s">
        <v>107</v>
      </c>
      <c r="G9" s="1" t="s">
        <v>107</v>
      </c>
    </row>
    <row r="10" spans="1:8" x14ac:dyDescent="0.3">
      <c r="A10" s="1" t="s">
        <v>139</v>
      </c>
      <c r="B10" s="1" t="s">
        <v>107</v>
      </c>
      <c r="C10" s="1" t="s">
        <v>107</v>
      </c>
      <c r="D10" s="1" t="s">
        <v>107</v>
      </c>
      <c r="E10" s="1" t="s">
        <v>107</v>
      </c>
      <c r="F10" s="1" t="s">
        <v>107</v>
      </c>
      <c r="G10" s="1" t="s">
        <v>107</v>
      </c>
    </row>
    <row r="11" spans="1:8" x14ac:dyDescent="0.3">
      <c r="A11" s="1" t="s">
        <v>140</v>
      </c>
      <c r="B11" s="1" t="s">
        <v>141</v>
      </c>
      <c r="C11" s="1" t="s">
        <v>142</v>
      </c>
      <c r="D11" s="1" t="s">
        <v>143</v>
      </c>
      <c r="E11" s="1" t="s">
        <v>144</v>
      </c>
      <c r="F11" s="1" t="s">
        <v>145</v>
      </c>
      <c r="G11" s="1" t="s">
        <v>146</v>
      </c>
    </row>
    <row r="12" spans="1:8" x14ac:dyDescent="0.3">
      <c r="A12" s="1" t="s">
        <v>147</v>
      </c>
      <c r="B12" s="1" t="s">
        <v>107</v>
      </c>
      <c r="C12" s="1" t="s">
        <v>107</v>
      </c>
      <c r="D12" s="1" t="s">
        <v>107</v>
      </c>
      <c r="E12" s="1" t="s">
        <v>107</v>
      </c>
      <c r="F12" s="1" t="s">
        <v>107</v>
      </c>
      <c r="G12" s="1" t="s">
        <v>107</v>
      </c>
    </row>
    <row r="14" spans="1:8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148</v>
      </c>
    </row>
    <row r="15" spans="1:8" x14ac:dyDescent="0.3">
      <c r="A15" s="1" t="s">
        <v>100</v>
      </c>
      <c r="B15" s="1">
        <f>B2/1000</f>
        <v>819.92200000000003</v>
      </c>
      <c r="C15" s="1">
        <f t="shared" ref="C15:G15" si="0">C2/1000</f>
        <v>1326.3309999999999</v>
      </c>
      <c r="D15" s="1">
        <f t="shared" si="0"/>
        <v>1253.422</v>
      </c>
      <c r="E15" s="1">
        <f t="shared" si="0"/>
        <v>1771.54</v>
      </c>
      <c r="F15" s="1">
        <f t="shared" si="0"/>
        <v>2557.453</v>
      </c>
      <c r="G15" s="1">
        <f t="shared" si="0"/>
        <v>2476.835</v>
      </c>
    </row>
    <row r="16" spans="1:8" x14ac:dyDescent="0.3">
      <c r="A16" s="1" t="s">
        <v>108</v>
      </c>
      <c r="B16" s="1">
        <f t="shared" ref="B16:G24" si="1">B3/1000</f>
        <v>198.14599999999999</v>
      </c>
      <c r="C16" s="1">
        <f t="shared" si="1"/>
        <v>247.34299999999999</v>
      </c>
      <c r="D16" s="1">
        <f t="shared" si="1"/>
        <v>300.12900000000002</v>
      </c>
      <c r="E16" s="1">
        <f t="shared" si="1"/>
        <v>356.82799999999997</v>
      </c>
      <c r="F16" s="1">
        <f t="shared" si="1"/>
        <v>409.17899999999997</v>
      </c>
      <c r="G16" s="1">
        <f t="shared" si="1"/>
        <v>479.00900000000001</v>
      </c>
    </row>
    <row r="17" spans="1:7" x14ac:dyDescent="0.3">
      <c r="A17" s="1" t="s">
        <v>115</v>
      </c>
      <c r="B17" s="1">
        <f t="shared" si="1"/>
        <v>-1000.136</v>
      </c>
      <c r="C17" s="1">
        <f t="shared" si="1"/>
        <v>-1330.7280000000001</v>
      </c>
      <c r="D17" s="1">
        <f t="shared" si="1"/>
        <v>-1434.5630000000001</v>
      </c>
      <c r="E17" s="1">
        <f t="shared" si="1"/>
        <v>-1158.2560000000001</v>
      </c>
      <c r="F17" s="1">
        <f t="shared" si="1"/>
        <v>-1596.9090000000001</v>
      </c>
      <c r="G17" s="1">
        <f t="shared" si="1"/>
        <v>-1997.3530000000001</v>
      </c>
    </row>
    <row r="18" spans="1:7" x14ac:dyDescent="0.3">
      <c r="A18" s="1" t="s">
        <v>122</v>
      </c>
      <c r="B18" s="1">
        <f t="shared" si="1"/>
        <v>1002.025</v>
      </c>
      <c r="C18" s="1">
        <f t="shared" si="1"/>
        <v>1335.604</v>
      </c>
      <c r="D18" s="1">
        <f t="shared" si="1"/>
        <v>1445.905</v>
      </c>
      <c r="E18" s="1">
        <f t="shared" si="1"/>
        <v>1172.8630000000001</v>
      </c>
      <c r="F18" s="1">
        <f t="shared" si="1"/>
        <v>1561.914</v>
      </c>
      <c r="G18" s="1">
        <f t="shared" si="1"/>
        <v>2007.18</v>
      </c>
    </row>
    <row r="19" spans="1:7" x14ac:dyDescent="0.3">
      <c r="A19" s="1" t="s">
        <v>129</v>
      </c>
      <c r="B19" s="1">
        <f t="shared" si="1"/>
        <v>265.91199999999998</v>
      </c>
      <c r="C19" s="1">
        <f t="shared" si="1"/>
        <v>-57.405999999999999</v>
      </c>
      <c r="D19" s="1">
        <f t="shared" si="1"/>
        <v>145.244</v>
      </c>
      <c r="E19" s="1">
        <f t="shared" si="1"/>
        <v>-777.61300000000006</v>
      </c>
      <c r="F19" s="1">
        <f t="shared" si="1"/>
        <v>-287.911</v>
      </c>
      <c r="G19" s="1">
        <f t="shared" si="1"/>
        <v>-478.29599999999999</v>
      </c>
    </row>
    <row r="20" spans="1:7" x14ac:dyDescent="0.3">
      <c r="A20" s="1" t="s">
        <v>136</v>
      </c>
      <c r="B20" s="1">
        <f t="shared" si="1"/>
        <v>0</v>
      </c>
      <c r="C20" s="1">
        <f t="shared" si="1"/>
        <v>0</v>
      </c>
      <c r="D20" s="1">
        <f t="shared" si="1"/>
        <v>0</v>
      </c>
      <c r="E20" s="1">
        <f t="shared" si="1"/>
        <v>0</v>
      </c>
      <c r="F20" s="1">
        <f t="shared" si="1"/>
        <v>0</v>
      </c>
      <c r="G20" s="1">
        <f t="shared" si="1"/>
        <v>0</v>
      </c>
    </row>
    <row r="21" spans="1:7" x14ac:dyDescent="0.3">
      <c r="A21" s="1" t="s">
        <v>137</v>
      </c>
      <c r="B21" s="1">
        <f t="shared" si="1"/>
        <v>0</v>
      </c>
      <c r="C21" s="1">
        <f t="shared" si="1"/>
        <v>0</v>
      </c>
      <c r="D21" s="1">
        <f t="shared" si="1"/>
        <v>0</v>
      </c>
      <c r="E21" s="1">
        <f t="shared" si="1"/>
        <v>0</v>
      </c>
      <c r="F21" s="1">
        <f t="shared" si="1"/>
        <v>0</v>
      </c>
      <c r="G21" s="1">
        <f t="shared" si="1"/>
        <v>0</v>
      </c>
    </row>
    <row r="22" spans="1:7" x14ac:dyDescent="0.3">
      <c r="A22" s="1" t="s">
        <v>138</v>
      </c>
      <c r="B22" s="1" t="e">
        <f t="shared" si="1"/>
        <v>#VALUE!</v>
      </c>
      <c r="C22" s="1" t="e">
        <f t="shared" si="1"/>
        <v>#VALUE!</v>
      </c>
      <c r="D22" s="1" t="e">
        <f t="shared" si="1"/>
        <v>#VALUE!</v>
      </c>
      <c r="E22" s="1" t="e">
        <f t="shared" si="1"/>
        <v>#VALUE!</v>
      </c>
      <c r="F22" s="1" t="e">
        <f t="shared" si="1"/>
        <v>#VALUE!</v>
      </c>
      <c r="G22" s="1" t="e">
        <f t="shared" si="1"/>
        <v>#VALUE!</v>
      </c>
    </row>
    <row r="23" spans="1:7" x14ac:dyDescent="0.3">
      <c r="A23" s="1" t="s">
        <v>139</v>
      </c>
      <c r="B23" s="1" t="e">
        <f t="shared" si="1"/>
        <v>#VALUE!</v>
      </c>
      <c r="C23" s="1" t="e">
        <f t="shared" si="1"/>
        <v>#VALUE!</v>
      </c>
      <c r="D23" s="1" t="e">
        <f t="shared" si="1"/>
        <v>#VALUE!</v>
      </c>
      <c r="E23" s="1" t="e">
        <f t="shared" si="1"/>
        <v>#VALUE!</v>
      </c>
      <c r="F23" s="1" t="e">
        <f t="shared" si="1"/>
        <v>#VALUE!</v>
      </c>
      <c r="G23" s="1" t="e">
        <f t="shared" si="1"/>
        <v>#VALUE!</v>
      </c>
    </row>
    <row r="24" spans="1:7" x14ac:dyDescent="0.3">
      <c r="A24" s="1" t="s">
        <v>140</v>
      </c>
      <c r="B24" s="1">
        <f t="shared" si="1"/>
        <v>85.697999999999993</v>
      </c>
      <c r="C24" s="1">
        <f t="shared" si="1"/>
        <v>-61.802999999999997</v>
      </c>
      <c r="D24" s="1">
        <f t="shared" si="1"/>
        <v>-35.896999999999998</v>
      </c>
      <c r="E24" s="1">
        <f t="shared" si="1"/>
        <v>-164.32900000000001</v>
      </c>
      <c r="F24" s="1">
        <f t="shared" si="1"/>
        <v>672.63300000000004</v>
      </c>
      <c r="G24" s="1">
        <f t="shared" si="1"/>
        <v>1.1859999999999999</v>
      </c>
    </row>
    <row r="25" spans="1:7" x14ac:dyDescent="0.3">
      <c r="A25" s="1" t="s">
        <v>147</v>
      </c>
      <c r="B25" s="1" t="e">
        <f>B12/1000</f>
        <v>#VALUE!</v>
      </c>
      <c r="C25" s="1" t="e">
        <f t="shared" ref="C25:G25" si="2">C12/1000</f>
        <v>#VALUE!</v>
      </c>
      <c r="D25" s="1" t="e">
        <f t="shared" si="2"/>
        <v>#VALUE!</v>
      </c>
      <c r="E25" s="1" t="e">
        <f t="shared" si="2"/>
        <v>#VALUE!</v>
      </c>
      <c r="F25" s="1" t="e">
        <f t="shared" si="2"/>
        <v>#VALUE!</v>
      </c>
      <c r="G25" s="1" t="e">
        <f t="shared" si="2"/>
        <v>#VALUE!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5530-9101-4316-B263-5BBBDE069101}">
  <dimension ref="A1:H5"/>
  <sheetViews>
    <sheetView workbookViewId="0"/>
  </sheetViews>
  <sheetFormatPr defaultRowHeight="14.4" x14ac:dyDescent="0.3"/>
  <cols>
    <col min="1" max="1" width="18.5546875" bestFit="1" customWidth="1"/>
    <col min="2" max="3" width="10.6640625" bestFit="1" customWidth="1"/>
    <col min="4" max="4" width="8" bestFit="1" customWidth="1"/>
    <col min="5" max="6" width="10.6640625" bestFit="1" customWidth="1"/>
  </cols>
  <sheetData>
    <row r="1" spans="1:8" x14ac:dyDescent="0.3">
      <c r="A1" t="s">
        <v>0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</row>
    <row r="2" spans="1:8" x14ac:dyDescent="0.3">
      <c r="A2" s="1" t="s">
        <v>159</v>
      </c>
      <c r="B2">
        <v>789000</v>
      </c>
      <c r="C2">
        <v>978409</v>
      </c>
      <c r="D2">
        <v>1401618</v>
      </c>
      <c r="E2">
        <v>1738981</v>
      </c>
      <c r="F2">
        <v>1793563</v>
      </c>
    </row>
    <row r="3" spans="1:8" x14ac:dyDescent="0.3">
      <c r="A3" s="1" t="s">
        <v>160</v>
      </c>
      <c r="B3">
        <v>-145083</v>
      </c>
      <c r="C3">
        <v>-173106</v>
      </c>
      <c r="D3">
        <v>-269531</v>
      </c>
      <c r="E3">
        <v>-333654</v>
      </c>
      <c r="F3">
        <v>-287834</v>
      </c>
    </row>
    <row r="4" spans="1:8" x14ac:dyDescent="0.3">
      <c r="A4" s="1" t="s">
        <v>161</v>
      </c>
      <c r="B4" s="4">
        <f>ABS(B3/B2)</f>
        <v>0.18388212927756653</v>
      </c>
      <c r="C4" s="4">
        <f>ABS(C3/C2)</f>
        <v>0.17692600947047707</v>
      </c>
      <c r="D4" s="4">
        <f t="shared" ref="C4:F4" si="0">ABS(D3/D2)</f>
        <v>0.1922998991165924</v>
      </c>
      <c r="E4" s="4">
        <f>ABS(E3/E2)</f>
        <v>0.19186753621804953</v>
      </c>
      <c r="F4" s="4">
        <f>ABS(F3/F2)</f>
        <v>0.16048167808992492</v>
      </c>
      <c r="H4" s="4">
        <f>AVERAGE(ETR[[#This Row],[2020]:[2024]])</f>
        <v>0.1810914504345221</v>
      </c>
    </row>
    <row r="5" spans="1:8" x14ac:dyDescent="0.3">
      <c r="A5" s="1"/>
      <c r="D5" s="5"/>
      <c r="H5" t="s">
        <v>162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18DF-DF34-4593-B4F3-1600FDC724A6}">
  <dimension ref="A1:J52"/>
  <sheetViews>
    <sheetView topLeftCell="B31" workbookViewId="0"/>
  </sheetViews>
  <sheetFormatPr defaultRowHeight="14.4" x14ac:dyDescent="0.3"/>
  <cols>
    <col min="1" max="1" width="42.33203125" bestFit="1" customWidth="1"/>
    <col min="2" max="6" width="22.21875" bestFit="1" customWidth="1"/>
    <col min="7" max="7" width="27.88671875" bestFit="1" customWidth="1"/>
    <col min="8" max="8" width="14.6640625" bestFit="1" customWidth="1"/>
    <col min="9" max="9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x14ac:dyDescent="0.3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x14ac:dyDescent="0.3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x14ac:dyDescent="0.3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x14ac:dyDescent="0.3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x14ac:dyDescent="0.3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3">
      <c r="A10" s="1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x14ac:dyDescent="0.3">
      <c r="A11" s="1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 x14ac:dyDescent="0.3">
      <c r="A12" s="1" t="s">
        <v>77</v>
      </c>
      <c r="B12" s="2" t="s">
        <v>78</v>
      </c>
      <c r="C12" s="2" t="s">
        <v>78</v>
      </c>
      <c r="D12" s="2" t="s">
        <v>78</v>
      </c>
      <c r="E12" s="2" t="s">
        <v>78</v>
      </c>
      <c r="F12" s="2" t="s">
        <v>78</v>
      </c>
      <c r="G12" s="2" t="s">
        <v>78</v>
      </c>
    </row>
    <row r="13" spans="1:7" x14ac:dyDescent="0.3">
      <c r="A13" s="1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</row>
    <row r="14" spans="1:7" x14ac:dyDescent="0.3">
      <c r="A14" s="1" t="s">
        <v>86</v>
      </c>
      <c r="B14" s="2" t="s">
        <v>78</v>
      </c>
      <c r="C14" s="2" t="s">
        <v>78</v>
      </c>
      <c r="D14" s="2" t="s">
        <v>78</v>
      </c>
      <c r="E14" s="2" t="s">
        <v>78</v>
      </c>
      <c r="F14" s="2" t="s">
        <v>78</v>
      </c>
      <c r="G14" s="2" t="s">
        <v>78</v>
      </c>
    </row>
    <row r="15" spans="1:7" x14ac:dyDescent="0.3">
      <c r="A15" s="1" t="s">
        <v>87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</row>
    <row r="16" spans="1:7" x14ac:dyDescent="0.3">
      <c r="A16" s="1" t="s">
        <v>88</v>
      </c>
      <c r="B16" s="2" t="s">
        <v>78</v>
      </c>
      <c r="C16" s="2" t="s">
        <v>78</v>
      </c>
      <c r="D16" s="2" t="s">
        <v>78</v>
      </c>
      <c r="E16" s="2" t="s">
        <v>78</v>
      </c>
      <c r="F16" s="2" t="s">
        <v>78</v>
      </c>
      <c r="G16" s="2" t="s">
        <v>78</v>
      </c>
    </row>
    <row r="17" spans="1:7" x14ac:dyDescent="0.3">
      <c r="A17" s="1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95</v>
      </c>
    </row>
    <row r="18" spans="1:7" x14ac:dyDescent="0.3">
      <c r="A18" s="1" t="s">
        <v>96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97</v>
      </c>
      <c r="G18" s="2" t="s">
        <v>98</v>
      </c>
    </row>
    <row r="21" spans="1:7" x14ac:dyDescent="0.3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</row>
    <row r="22" spans="1:7" x14ac:dyDescent="0.3">
      <c r="A22" s="1" t="s">
        <v>7</v>
      </c>
      <c r="B22" s="2">
        <v>10125.815000000001</v>
      </c>
      <c r="C22" s="2">
        <v>13362.012000000001</v>
      </c>
      <c r="D22" s="2">
        <v>19801.621999999999</v>
      </c>
      <c r="E22" s="2">
        <v>25666.255000000001</v>
      </c>
      <c r="F22" s="2">
        <v>29273.792000000001</v>
      </c>
      <c r="G22" s="2">
        <v>32490.261999999999</v>
      </c>
    </row>
    <row r="23" spans="1:7" x14ac:dyDescent="0.3">
      <c r="A23" s="1" t="s">
        <v>14</v>
      </c>
      <c r="B23" s="2">
        <v>7521.9859999999999</v>
      </c>
      <c r="C23" s="2">
        <v>10038.342000000001</v>
      </c>
      <c r="D23" s="2">
        <v>15038.63</v>
      </c>
      <c r="E23" s="2">
        <v>19741.458999999999</v>
      </c>
      <c r="F23" s="2">
        <v>22463.233</v>
      </c>
      <c r="G23" s="2">
        <v>24779.602999999999</v>
      </c>
    </row>
    <row r="24" spans="1:7" x14ac:dyDescent="0.3">
      <c r="A24" s="1" t="s">
        <v>21</v>
      </c>
      <c r="B24" s="2">
        <v>1668.0840000000001</v>
      </c>
      <c r="C24" s="2">
        <v>2181.9630000000002</v>
      </c>
      <c r="D24" s="2">
        <v>3080.0610000000001</v>
      </c>
      <c r="E24" s="2">
        <v>3878.4209999999998</v>
      </c>
      <c r="F24" s="2">
        <v>4678.7169999999996</v>
      </c>
      <c r="G24" s="2">
        <v>5381.4750000000004</v>
      </c>
    </row>
    <row r="25" spans="1:7" x14ac:dyDescent="0.3">
      <c r="A25" s="1" t="s">
        <v>28</v>
      </c>
      <c r="B25" s="2">
        <v>99.783000000000001</v>
      </c>
      <c r="C25" s="2">
        <v>117.285</v>
      </c>
      <c r="D25" s="2">
        <v>143.21700000000001</v>
      </c>
      <c r="E25" s="2">
        <v>173.73599999999999</v>
      </c>
      <c r="F25" s="2">
        <v>233.65299999999999</v>
      </c>
      <c r="G25" s="2">
        <v>258.11399999999998</v>
      </c>
    </row>
    <row r="26" spans="1:7" x14ac:dyDescent="0.3">
      <c r="A26" s="1" t="s">
        <v>35</v>
      </c>
      <c r="B26" s="2">
        <v>835.96199999999999</v>
      </c>
      <c r="C26" s="2">
        <v>1024.422</v>
      </c>
      <c r="D26" s="2">
        <v>1539.7139999999999</v>
      </c>
      <c r="E26" s="2">
        <v>1872.6389999999999</v>
      </c>
      <c r="F26" s="2">
        <v>1898.1890000000001</v>
      </c>
      <c r="G26" s="2">
        <v>2071.0700000000002</v>
      </c>
    </row>
    <row r="27" spans="1:7" x14ac:dyDescent="0.3">
      <c r="A27" s="1" t="s">
        <v>42</v>
      </c>
      <c r="B27" s="2">
        <v>7.5979999999999999</v>
      </c>
      <c r="C27" s="2">
        <v>14.364000000000001</v>
      </c>
      <c r="D27" s="2">
        <v>16.282</v>
      </c>
      <c r="E27" s="2">
        <v>13.477</v>
      </c>
      <c r="F27" s="2">
        <v>24.184999999999999</v>
      </c>
      <c r="G27" s="2">
        <v>33.685000000000002</v>
      </c>
    </row>
    <row r="28" spans="1:7" x14ac:dyDescent="0.3">
      <c r="A28" s="1" t="s">
        <v>49</v>
      </c>
      <c r="B28" s="2">
        <v>5.7009999999999996</v>
      </c>
      <c r="C28" s="2">
        <v>14.792999999999999</v>
      </c>
      <c r="D28" s="2">
        <v>18.177</v>
      </c>
      <c r="E28" s="2">
        <v>10.260999999999999</v>
      </c>
      <c r="F28" s="2">
        <v>14.044</v>
      </c>
      <c r="G28" s="2">
        <v>19.556999999999999</v>
      </c>
    </row>
    <row r="29" spans="1:7" x14ac:dyDescent="0.3">
      <c r="A29" s="1" t="s">
        <v>56</v>
      </c>
      <c r="B29" s="2">
        <v>837.85900000000004</v>
      </c>
      <c r="C29" s="2">
        <v>1023.9930000000001</v>
      </c>
      <c r="D29" s="2">
        <v>1537.819</v>
      </c>
      <c r="E29" s="2">
        <v>1875.855</v>
      </c>
      <c r="F29" s="2">
        <v>1908.33</v>
      </c>
      <c r="G29" s="2">
        <v>2085.1979999999999</v>
      </c>
    </row>
    <row r="30" spans="1:7" x14ac:dyDescent="0.3">
      <c r="A30" s="1" t="s">
        <v>63</v>
      </c>
      <c r="B30" s="2">
        <v>3.2370000000000001</v>
      </c>
      <c r="C30" s="2">
        <v>1.119</v>
      </c>
      <c r="D30" s="2">
        <v>5.0919999999999996</v>
      </c>
      <c r="E30" s="2">
        <v>10.442</v>
      </c>
      <c r="F30" s="2">
        <v>6.657</v>
      </c>
      <c r="G30" s="2">
        <v>8.5530000000000008</v>
      </c>
    </row>
    <row r="31" spans="1:7" x14ac:dyDescent="0.3">
      <c r="A31" s="1" t="s">
        <v>70</v>
      </c>
      <c r="B31" s="2">
        <v>52.095999999999997</v>
      </c>
      <c r="C31" s="2">
        <v>46.703000000000003</v>
      </c>
      <c r="D31" s="2">
        <v>141.29300000000001</v>
      </c>
      <c r="E31" s="2">
        <v>147.316</v>
      </c>
      <c r="F31" s="2">
        <v>121.42400000000001</v>
      </c>
      <c r="G31" s="2">
        <v>126.247</v>
      </c>
    </row>
    <row r="32" spans="1:7" x14ac:dyDescent="0.3">
      <c r="A32" s="1" t="s">
        <v>77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10" x14ac:dyDescent="0.3">
      <c r="A33" s="1" t="s">
        <v>79</v>
      </c>
      <c r="B33" s="2">
        <v>789</v>
      </c>
      <c r="C33" s="2">
        <v>978.40899999999999</v>
      </c>
      <c r="D33" s="2">
        <v>1401.6179999999999</v>
      </c>
      <c r="E33" s="2">
        <v>1738.981</v>
      </c>
      <c r="F33" s="2">
        <v>1793.5630000000001</v>
      </c>
      <c r="G33" s="2">
        <v>1967.5039999999999</v>
      </c>
    </row>
    <row r="34" spans="1:10" x14ac:dyDescent="0.3">
      <c r="A34" s="1" t="s">
        <v>86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 spans="1:10" x14ac:dyDescent="0.3">
      <c r="A35" s="1" t="s">
        <v>87</v>
      </c>
      <c r="B35" s="2">
        <v>789</v>
      </c>
      <c r="C35" s="2">
        <v>978.40899999999999</v>
      </c>
      <c r="D35" s="2">
        <v>1401.6179999999999</v>
      </c>
      <c r="E35" s="2">
        <v>1738.981</v>
      </c>
      <c r="F35" s="2">
        <v>1793.5630000000001</v>
      </c>
      <c r="G35" s="2">
        <v>1967.5039999999999</v>
      </c>
    </row>
    <row r="36" spans="1:10" x14ac:dyDescent="0.3">
      <c r="A36" s="1" t="s">
        <v>88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</row>
    <row r="37" spans="1:10" x14ac:dyDescent="0.3">
      <c r="A37" s="1" t="s">
        <v>89</v>
      </c>
      <c r="B37" s="2">
        <v>643.91700000000003</v>
      </c>
      <c r="C37" s="2">
        <v>805.303</v>
      </c>
      <c r="D37" s="2">
        <v>1132.087</v>
      </c>
      <c r="E37" s="2">
        <v>1405.327</v>
      </c>
      <c r="F37" s="2">
        <v>1505.729</v>
      </c>
      <c r="G37" s="2">
        <v>1614.8910000000001</v>
      </c>
    </row>
    <row r="38" spans="1:10" x14ac:dyDescent="0.3">
      <c r="A38" s="1" t="s">
        <v>96</v>
      </c>
      <c r="B38" s="2">
        <v>643.91700000000003</v>
      </c>
      <c r="C38" s="2">
        <v>805.303</v>
      </c>
      <c r="D38" s="2">
        <v>1132.087</v>
      </c>
      <c r="E38" s="2">
        <v>1405.327</v>
      </c>
      <c r="F38" s="2">
        <v>1504.98</v>
      </c>
      <c r="G38" s="2">
        <v>1614.2829999999999</v>
      </c>
    </row>
    <row r="41" spans="1:10" x14ac:dyDescent="0.3">
      <c r="B41" s="13"/>
      <c r="G41" t="s">
        <v>338</v>
      </c>
      <c r="H41" t="s">
        <v>340</v>
      </c>
      <c r="I41" t="s">
        <v>89</v>
      </c>
      <c r="J41" t="s">
        <v>341</v>
      </c>
    </row>
    <row r="42" spans="1:10" x14ac:dyDescent="0.3">
      <c r="B42" s="13"/>
      <c r="F42" t="s">
        <v>339</v>
      </c>
      <c r="G42" s="21">
        <v>1563955000</v>
      </c>
      <c r="H42" s="16">
        <f>Valuation!B3*1000000</f>
        <v>38588544000</v>
      </c>
      <c r="I42">
        <v>1191047000</v>
      </c>
      <c r="J42">
        <v>39.630000000000003</v>
      </c>
    </row>
    <row r="43" spans="1:10" ht="14.4" customHeight="1" x14ac:dyDescent="0.3">
      <c r="F43" t="s">
        <v>336</v>
      </c>
      <c r="G43" s="16">
        <v>5260797070</v>
      </c>
      <c r="H43" s="16">
        <v>57108359715</v>
      </c>
      <c r="I43" s="11">
        <v>3431279650</v>
      </c>
      <c r="J43" s="11">
        <v>90.75</v>
      </c>
    </row>
    <row r="44" spans="1:10" x14ac:dyDescent="0.3">
      <c r="F44" t="s">
        <v>337</v>
      </c>
      <c r="G44" s="16">
        <f>933519.41*1000</f>
        <v>933519410</v>
      </c>
      <c r="H44" s="16">
        <v>917086055</v>
      </c>
      <c r="I44">
        <v>3841230</v>
      </c>
      <c r="J44" s="11">
        <v>6.58</v>
      </c>
    </row>
    <row r="49" spans="3:9" x14ac:dyDescent="0.3">
      <c r="C49" s="6"/>
      <c r="D49" s="9" t="s">
        <v>344</v>
      </c>
      <c r="E49" s="7">
        <v>2026</v>
      </c>
      <c r="F49" s="7">
        <v>2027</v>
      </c>
      <c r="G49" s="7">
        <v>2028</v>
      </c>
      <c r="H49" s="7">
        <v>2029</v>
      </c>
      <c r="I49" s="7">
        <v>2030</v>
      </c>
    </row>
    <row r="50" spans="3:9" x14ac:dyDescent="0.3">
      <c r="C50" s="6" t="s">
        <v>7</v>
      </c>
      <c r="D50" s="15">
        <v>32490.261999999999</v>
      </c>
      <c r="E50" s="16">
        <v>33372.122880000003</v>
      </c>
      <c r="F50" s="16">
        <v>37643.754608640003</v>
      </c>
      <c r="G50" s="16">
        <v>41972.786388633605</v>
      </c>
      <c r="H50" s="16">
        <v>46128.09224110833</v>
      </c>
      <c r="I50" s="16">
        <v>50002.851989361436</v>
      </c>
    </row>
    <row r="51" spans="3:9" x14ac:dyDescent="0.3">
      <c r="C51" s="8" t="s">
        <v>56</v>
      </c>
      <c r="D51" s="17">
        <v>2085.1979999999999</v>
      </c>
      <c r="E51" s="16">
        <v>2169.1879872000004</v>
      </c>
      <c r="F51" s="16">
        <v>2409.2002949529601</v>
      </c>
      <c r="G51" s="16">
        <v>2602.3127560952835</v>
      </c>
      <c r="H51" s="16">
        <v>2813.8136267076079</v>
      </c>
      <c r="I51" s="16">
        <v>3050.1739713510474</v>
      </c>
    </row>
    <row r="52" spans="3:9" x14ac:dyDescent="0.3">
      <c r="C52" s="9" t="s">
        <v>168</v>
      </c>
      <c r="D52" s="4">
        <v>6.4179168515169249E-2</v>
      </c>
      <c r="E52" s="4">
        <v>6.5000000000000002E-2</v>
      </c>
      <c r="F52" s="4">
        <v>6.4000000000000001E-2</v>
      </c>
      <c r="G52" s="4">
        <v>6.2E-2</v>
      </c>
      <c r="H52" s="4">
        <v>6.0999999999999999E-2</v>
      </c>
      <c r="I52" s="4">
        <v>6.0999999999999999E-2</v>
      </c>
    </row>
  </sheetData>
  <mergeCells count="1">
    <mergeCell ref="B41:B4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663C-9C6F-4CAE-B463-9D1A7A607A46}">
  <dimension ref="A1:F88"/>
  <sheetViews>
    <sheetView topLeftCell="A64" workbookViewId="0"/>
  </sheetViews>
  <sheetFormatPr defaultRowHeight="14.4" x14ac:dyDescent="0.3"/>
  <cols>
    <col min="1" max="1" width="61.6640625" bestFit="1" customWidth="1"/>
    <col min="2" max="2" width="9" bestFit="1" customWidth="1"/>
    <col min="3" max="3" width="9.6640625" bestFit="1" customWidth="1"/>
    <col min="4" max="6" width="9" bestFit="1" customWidth="1"/>
  </cols>
  <sheetData>
    <row r="1" spans="1:6" x14ac:dyDescent="0.3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3">
      <c r="A2" s="1" t="s">
        <v>206</v>
      </c>
      <c r="B2">
        <v>29273792</v>
      </c>
      <c r="C2">
        <v>25666255</v>
      </c>
      <c r="D2">
        <v>19801622</v>
      </c>
      <c r="E2">
        <v>13362012</v>
      </c>
      <c r="F2">
        <v>10125815</v>
      </c>
    </row>
    <row r="3" spans="1:6" x14ac:dyDescent="0.3">
      <c r="A3" s="1" t="s">
        <v>207</v>
      </c>
      <c r="B3">
        <v>22463233</v>
      </c>
      <c r="C3">
        <v>19741459</v>
      </c>
      <c r="D3">
        <v>15038630</v>
      </c>
      <c r="E3">
        <v>10038342</v>
      </c>
      <c r="F3">
        <v>7521986</v>
      </c>
    </row>
    <row r="4" spans="1:6" x14ac:dyDescent="0.3">
      <c r="A4" s="1" t="s">
        <v>208</v>
      </c>
      <c r="B4">
        <v>6810559</v>
      </c>
      <c r="C4">
        <v>5924796</v>
      </c>
      <c r="D4">
        <v>4762992</v>
      </c>
      <c r="E4">
        <v>3323670</v>
      </c>
      <c r="F4">
        <v>2603829</v>
      </c>
    </row>
    <row r="5" spans="1:6" x14ac:dyDescent="0.3">
      <c r="A5" s="1" t="s">
        <v>209</v>
      </c>
      <c r="B5">
        <v>4678717</v>
      </c>
      <c r="C5">
        <v>3878421</v>
      </c>
      <c r="D5">
        <v>3080061</v>
      </c>
      <c r="E5">
        <v>2181963</v>
      </c>
      <c r="F5">
        <v>1668084</v>
      </c>
    </row>
    <row r="6" spans="1:6" x14ac:dyDescent="0.3">
      <c r="A6" s="1" t="s">
        <v>210</v>
      </c>
      <c r="B6">
        <v>233653</v>
      </c>
      <c r="C6">
        <v>173736</v>
      </c>
      <c r="D6">
        <v>143217</v>
      </c>
      <c r="E6">
        <v>117285</v>
      </c>
      <c r="F6">
        <v>99783</v>
      </c>
    </row>
    <row r="7" spans="1:6" x14ac:dyDescent="0.3">
      <c r="A7" s="1" t="s">
        <v>211</v>
      </c>
      <c r="B7">
        <v>24185</v>
      </c>
      <c r="C7">
        <v>13477</v>
      </c>
      <c r="D7">
        <v>16282</v>
      </c>
      <c r="E7">
        <v>14364</v>
      </c>
      <c r="F7">
        <v>7598</v>
      </c>
    </row>
    <row r="8" spans="1:6" x14ac:dyDescent="0.3">
      <c r="A8" s="1" t="s">
        <v>212</v>
      </c>
      <c r="B8">
        <v>14044</v>
      </c>
      <c r="C8">
        <v>10261</v>
      </c>
      <c r="D8">
        <v>18177</v>
      </c>
      <c r="E8">
        <v>14793</v>
      </c>
      <c r="F8">
        <v>5701</v>
      </c>
    </row>
    <row r="9" spans="1:6" x14ac:dyDescent="0.3">
      <c r="A9" s="1" t="s">
        <v>213</v>
      </c>
      <c r="B9">
        <v>1908330</v>
      </c>
      <c r="C9">
        <v>1875855</v>
      </c>
      <c r="D9">
        <v>1537819</v>
      </c>
      <c r="E9">
        <v>1023993</v>
      </c>
      <c r="F9">
        <v>837859</v>
      </c>
    </row>
    <row r="10" spans="1:6" x14ac:dyDescent="0.3">
      <c r="A10" s="1" t="s">
        <v>214</v>
      </c>
      <c r="B10">
        <v>6657</v>
      </c>
      <c r="C10">
        <v>10442</v>
      </c>
      <c r="D10">
        <v>5092</v>
      </c>
      <c r="E10">
        <v>1119</v>
      </c>
      <c r="F10">
        <v>3237</v>
      </c>
    </row>
    <row r="11" spans="1:6" x14ac:dyDescent="0.3">
      <c r="A11" s="1" t="s">
        <v>215</v>
      </c>
      <c r="B11">
        <v>121424</v>
      </c>
      <c r="C11">
        <v>147316</v>
      </c>
      <c r="D11">
        <v>141293</v>
      </c>
      <c r="E11">
        <v>46703</v>
      </c>
      <c r="F11">
        <v>52096</v>
      </c>
    </row>
    <row r="12" spans="1:6" x14ac:dyDescent="0.3">
      <c r="A12" s="1" t="s">
        <v>216</v>
      </c>
      <c r="B12">
        <v>1793563</v>
      </c>
      <c r="C12">
        <v>1738981</v>
      </c>
      <c r="D12">
        <v>1401618</v>
      </c>
      <c r="E12">
        <v>978409</v>
      </c>
      <c r="F12">
        <v>789000</v>
      </c>
    </row>
    <row r="13" spans="1:6" x14ac:dyDescent="0.3">
      <c r="A13" s="1" t="s">
        <v>217</v>
      </c>
      <c r="B13">
        <v>-287834</v>
      </c>
      <c r="C13">
        <v>-333654</v>
      </c>
      <c r="D13">
        <v>-269531</v>
      </c>
      <c r="E13">
        <v>-173106</v>
      </c>
      <c r="F13">
        <v>-145083</v>
      </c>
    </row>
    <row r="14" spans="1:6" x14ac:dyDescent="0.3">
      <c r="A14" s="1" t="s">
        <v>218</v>
      </c>
      <c r="E14">
        <v>805303</v>
      </c>
      <c r="F14">
        <v>643917</v>
      </c>
    </row>
    <row r="15" spans="1:6" x14ac:dyDescent="0.3">
      <c r="A15" s="1" t="s">
        <v>219</v>
      </c>
      <c r="B15">
        <v>1505729</v>
      </c>
      <c r="C15">
        <v>1405327</v>
      </c>
      <c r="D15">
        <v>1132087</v>
      </c>
      <c r="E15">
        <v>805303</v>
      </c>
      <c r="F15">
        <v>643917</v>
      </c>
    </row>
    <row r="16" spans="1:6" x14ac:dyDescent="0.3">
      <c r="A16" s="1" t="s">
        <v>220</v>
      </c>
      <c r="B16">
        <v>1504980</v>
      </c>
      <c r="C16">
        <v>1405327</v>
      </c>
      <c r="D16">
        <v>1132087</v>
      </c>
      <c r="E16">
        <v>805303</v>
      </c>
      <c r="F16">
        <v>643917</v>
      </c>
    </row>
    <row r="17" spans="1:6" x14ac:dyDescent="0.3">
      <c r="A17" s="1" t="s">
        <v>221</v>
      </c>
      <c r="B17">
        <v>749</v>
      </c>
    </row>
    <row r="18" spans="1:6" x14ac:dyDescent="0.3">
      <c r="A18" s="1" t="s">
        <v>222</v>
      </c>
      <c r="B18">
        <v>409179</v>
      </c>
      <c r="C18">
        <v>356828</v>
      </c>
      <c r="D18">
        <v>300129</v>
      </c>
      <c r="E18">
        <v>247343</v>
      </c>
      <c r="F18">
        <v>198146</v>
      </c>
    </row>
    <row r="19" spans="1:6" x14ac:dyDescent="0.3">
      <c r="A19" s="1"/>
    </row>
    <row r="20" spans="1:6" x14ac:dyDescent="0.3">
      <c r="A20" s="1" t="s">
        <v>223</v>
      </c>
      <c r="B20">
        <v>2024</v>
      </c>
      <c r="C20">
        <v>2023</v>
      </c>
      <c r="D20">
        <v>2022</v>
      </c>
      <c r="E20">
        <v>2021</v>
      </c>
      <c r="F20">
        <v>2020</v>
      </c>
    </row>
    <row r="21" spans="1:6" x14ac:dyDescent="0.3">
      <c r="A21" s="1" t="s">
        <v>224</v>
      </c>
      <c r="B21">
        <v>13055794</v>
      </c>
      <c r="C21">
        <v>10377715</v>
      </c>
      <c r="D21">
        <v>9003059</v>
      </c>
      <c r="E21">
        <v>7168531</v>
      </c>
      <c r="F21">
        <v>5570510</v>
      </c>
    </row>
    <row r="22" spans="1:6" x14ac:dyDescent="0.3">
      <c r="A22" s="1" t="s">
        <v>225</v>
      </c>
      <c r="B22">
        <v>8616378</v>
      </c>
      <c r="C22">
        <v>7124550</v>
      </c>
      <c r="D22">
        <v>6296353</v>
      </c>
      <c r="E22">
        <v>5183347</v>
      </c>
      <c r="F22">
        <v>4053812</v>
      </c>
    </row>
    <row r="23" spans="1:6" x14ac:dyDescent="0.3">
      <c r="A23" s="1" t="s">
        <v>226</v>
      </c>
      <c r="B23">
        <v>8230915</v>
      </c>
      <c r="C23">
        <v>6874672</v>
      </c>
      <c r="D23">
        <v>6070032</v>
      </c>
      <c r="E23">
        <v>4911353</v>
      </c>
      <c r="F23">
        <v>3749480</v>
      </c>
    </row>
    <row r="24" spans="1:6" x14ac:dyDescent="0.3">
      <c r="A24" s="1" t="s">
        <v>227</v>
      </c>
      <c r="B24">
        <v>169964</v>
      </c>
      <c r="C24">
        <v>115056</v>
      </c>
      <c r="D24">
        <v>94737</v>
      </c>
      <c r="E24">
        <v>96947</v>
      </c>
      <c r="F24">
        <v>99050</v>
      </c>
    </row>
    <row r="25" spans="1:6" x14ac:dyDescent="0.3">
      <c r="A25" s="1" t="s">
        <v>228</v>
      </c>
      <c r="B25">
        <v>74149</v>
      </c>
      <c r="C25">
        <v>41323</v>
      </c>
      <c r="D25">
        <v>26468</v>
      </c>
      <c r="E25">
        <v>35116</v>
      </c>
      <c r="F25">
        <v>20738</v>
      </c>
    </row>
    <row r="26" spans="1:6" x14ac:dyDescent="0.3">
      <c r="A26" s="1" t="s">
        <v>229</v>
      </c>
      <c r="B26">
        <v>141350</v>
      </c>
      <c r="C26">
        <v>93499</v>
      </c>
      <c r="D26">
        <v>105116</v>
      </c>
      <c r="E26">
        <v>139931</v>
      </c>
      <c r="F26">
        <v>184544</v>
      </c>
    </row>
    <row r="27" spans="1:6" x14ac:dyDescent="0.3">
      <c r="A27" s="1" t="s">
        <v>230</v>
      </c>
      <c r="B27">
        <v>4439416</v>
      </c>
      <c r="C27">
        <v>3253165</v>
      </c>
      <c r="D27">
        <v>2706706</v>
      </c>
      <c r="E27">
        <v>1985184</v>
      </c>
      <c r="F27">
        <v>1516698</v>
      </c>
    </row>
    <row r="28" spans="1:6" x14ac:dyDescent="0.3">
      <c r="A28" s="1" t="s">
        <v>231</v>
      </c>
      <c r="B28">
        <v>3081444</v>
      </c>
      <c r="C28">
        <v>2638859</v>
      </c>
      <c r="D28">
        <v>1978778</v>
      </c>
      <c r="E28">
        <v>1373463</v>
      </c>
      <c r="F28">
        <v>875147</v>
      </c>
    </row>
    <row r="29" spans="1:6" x14ac:dyDescent="0.3">
      <c r="A29" s="1" t="s">
        <v>232</v>
      </c>
      <c r="D29">
        <v>274872</v>
      </c>
      <c r="E29">
        <v>144012</v>
      </c>
      <c r="F29">
        <v>86822</v>
      </c>
    </row>
    <row r="30" spans="1:6" x14ac:dyDescent="0.3">
      <c r="A30" s="1" t="s">
        <v>233</v>
      </c>
      <c r="B30">
        <v>376700</v>
      </c>
      <c r="C30">
        <v>330492</v>
      </c>
      <c r="E30">
        <v>55</v>
      </c>
      <c r="F30">
        <v>2</v>
      </c>
    </row>
    <row r="31" spans="1:6" x14ac:dyDescent="0.3">
      <c r="A31" s="1" t="s">
        <v>234</v>
      </c>
      <c r="B31">
        <v>2064</v>
      </c>
      <c r="C31">
        <v>1376</v>
      </c>
      <c r="D31">
        <v>1242</v>
      </c>
      <c r="E31">
        <v>1327</v>
      </c>
      <c r="F31">
        <v>942</v>
      </c>
    </row>
    <row r="32" spans="1:6" x14ac:dyDescent="0.3">
      <c r="A32" s="1" t="s">
        <v>235</v>
      </c>
      <c r="B32">
        <v>891022</v>
      </c>
      <c r="C32">
        <v>218389</v>
      </c>
      <c r="D32">
        <v>382718</v>
      </c>
      <c r="E32">
        <v>418615</v>
      </c>
      <c r="F32">
        <v>480418</v>
      </c>
    </row>
    <row r="33" spans="1:6" x14ac:dyDescent="0.3">
      <c r="A33" s="1" t="s">
        <v>236</v>
      </c>
      <c r="B33">
        <v>88186</v>
      </c>
      <c r="C33">
        <v>64049</v>
      </c>
      <c r="D33">
        <v>69096</v>
      </c>
      <c r="E33">
        <v>47712</v>
      </c>
      <c r="F33">
        <v>73367</v>
      </c>
    </row>
    <row r="34" spans="1:6" x14ac:dyDescent="0.3">
      <c r="A34" s="1" t="s">
        <v>237</v>
      </c>
      <c r="B34">
        <v>13055794</v>
      </c>
      <c r="C34">
        <v>10377715</v>
      </c>
      <c r="D34">
        <v>9003059</v>
      </c>
      <c r="E34">
        <v>7168531</v>
      </c>
      <c r="F34">
        <v>5570510</v>
      </c>
    </row>
    <row r="35" spans="1:6" x14ac:dyDescent="0.3">
      <c r="A35" s="1" t="s">
        <v>238</v>
      </c>
      <c r="B35">
        <v>7102434</v>
      </c>
      <c r="C35">
        <v>5605311</v>
      </c>
      <c r="D35">
        <v>4203783</v>
      </c>
      <c r="E35">
        <v>3070190</v>
      </c>
      <c r="F35">
        <v>2266563</v>
      </c>
    </row>
    <row r="36" spans="1:6" x14ac:dyDescent="0.3">
      <c r="A36" s="1" t="s">
        <v>239</v>
      </c>
      <c r="B36">
        <v>9804</v>
      </c>
      <c r="C36">
        <v>9804</v>
      </c>
      <c r="D36">
        <v>9804</v>
      </c>
      <c r="E36">
        <v>9804</v>
      </c>
      <c r="F36">
        <v>9804</v>
      </c>
    </row>
    <row r="37" spans="1:6" x14ac:dyDescent="0.3">
      <c r="A37" s="1" t="s">
        <v>240</v>
      </c>
      <c r="B37">
        <v>6058912</v>
      </c>
      <c r="C37">
        <v>4652148</v>
      </c>
      <c r="D37">
        <v>3512022</v>
      </c>
      <c r="E37">
        <v>2707720</v>
      </c>
      <c r="F37">
        <v>2063322</v>
      </c>
    </row>
    <row r="38" spans="1:6" x14ac:dyDescent="0.3">
      <c r="A38" s="1" t="s">
        <v>241</v>
      </c>
      <c r="B38">
        <v>-15436</v>
      </c>
      <c r="C38">
        <v>7500</v>
      </c>
      <c r="D38">
        <v>7500</v>
      </c>
      <c r="E38">
        <v>7500</v>
      </c>
      <c r="F38">
        <v>7500</v>
      </c>
    </row>
    <row r="39" spans="1:6" x14ac:dyDescent="0.3">
      <c r="A39" s="1" t="s">
        <v>242</v>
      </c>
      <c r="B39">
        <v>1031871</v>
      </c>
      <c r="C39">
        <v>935859</v>
      </c>
      <c r="D39">
        <v>674457</v>
      </c>
      <c r="E39">
        <v>345166</v>
      </c>
      <c r="F39">
        <v>185937</v>
      </c>
    </row>
    <row r="40" spans="1:6" x14ac:dyDescent="0.3">
      <c r="A40" s="1" t="s">
        <v>243</v>
      </c>
      <c r="B40">
        <v>17283</v>
      </c>
    </row>
    <row r="41" spans="1:6" x14ac:dyDescent="0.3">
      <c r="A41" s="1" t="s">
        <v>244</v>
      </c>
      <c r="B41">
        <v>570511</v>
      </c>
      <c r="C41">
        <v>893111</v>
      </c>
      <c r="D41">
        <v>1109149</v>
      </c>
      <c r="E41">
        <v>1092804</v>
      </c>
      <c r="F41">
        <v>2266563</v>
      </c>
    </row>
    <row r="42" spans="1:6" x14ac:dyDescent="0.3">
      <c r="A42" s="1" t="s">
        <v>245</v>
      </c>
      <c r="B42">
        <v>170000</v>
      </c>
      <c r="C42">
        <v>370000</v>
      </c>
      <c r="D42">
        <v>370000</v>
      </c>
      <c r="E42">
        <v>450000</v>
      </c>
      <c r="F42">
        <v>419936</v>
      </c>
    </row>
    <row r="43" spans="1:6" x14ac:dyDescent="0.3">
      <c r="A43" s="1" t="s">
        <v>246</v>
      </c>
      <c r="B43">
        <v>272219</v>
      </c>
      <c r="C43">
        <v>469629</v>
      </c>
      <c r="D43">
        <v>690862</v>
      </c>
      <c r="E43">
        <v>583014</v>
      </c>
      <c r="F43">
        <v>725851</v>
      </c>
    </row>
    <row r="44" spans="1:6" x14ac:dyDescent="0.3">
      <c r="A44" s="1" t="s">
        <v>247</v>
      </c>
      <c r="B44">
        <v>14142</v>
      </c>
      <c r="C44">
        <v>10900</v>
      </c>
      <c r="D44">
        <v>5794</v>
      </c>
      <c r="E44">
        <v>4827</v>
      </c>
      <c r="F44">
        <v>2844</v>
      </c>
    </row>
    <row r="45" spans="1:6" x14ac:dyDescent="0.3">
      <c r="A45" s="1" t="s">
        <v>248</v>
      </c>
      <c r="B45">
        <v>30336</v>
      </c>
      <c r="C45">
        <v>6880</v>
      </c>
      <c r="D45">
        <v>7700</v>
      </c>
      <c r="E45">
        <v>8187</v>
      </c>
      <c r="F45">
        <v>6555</v>
      </c>
    </row>
    <row r="46" spans="1:6" x14ac:dyDescent="0.3">
      <c r="A46" s="1" t="s">
        <v>249</v>
      </c>
      <c r="B46">
        <v>22996</v>
      </c>
      <c r="C46">
        <v>90</v>
      </c>
      <c r="D46">
        <v>120</v>
      </c>
      <c r="E46">
        <v>150</v>
      </c>
      <c r="F46">
        <v>180</v>
      </c>
    </row>
    <row r="47" spans="1:6" x14ac:dyDescent="0.3">
      <c r="A47" s="1" t="s">
        <v>250</v>
      </c>
      <c r="E47">
        <v>5</v>
      </c>
      <c r="F47">
        <v>14</v>
      </c>
    </row>
    <row r="48" spans="1:6" x14ac:dyDescent="0.3">
      <c r="A48" s="1" t="s">
        <v>251</v>
      </c>
      <c r="B48">
        <v>60818</v>
      </c>
      <c r="C48">
        <v>35612</v>
      </c>
      <c r="D48">
        <v>34673</v>
      </c>
      <c r="E48">
        <v>46621</v>
      </c>
      <c r="F48">
        <v>67876</v>
      </c>
    </row>
    <row r="49" spans="1:6" ht="13.8" customHeight="1" x14ac:dyDescent="0.3">
      <c r="A49" s="1" t="s">
        <v>252</v>
      </c>
      <c r="B49">
        <v>5382849</v>
      </c>
      <c r="C49">
        <v>3879293</v>
      </c>
      <c r="D49">
        <v>3690127</v>
      </c>
      <c r="E49">
        <v>3005537</v>
      </c>
      <c r="F49">
        <v>1223256</v>
      </c>
    </row>
    <row r="50" spans="1:6" x14ac:dyDescent="0.3">
      <c r="A50" s="1" t="s">
        <v>253</v>
      </c>
      <c r="B50">
        <v>204845</v>
      </c>
      <c r="C50">
        <v>4784</v>
      </c>
      <c r="D50">
        <v>260947</v>
      </c>
      <c r="E50">
        <v>171642</v>
      </c>
      <c r="F50">
        <v>930</v>
      </c>
    </row>
    <row r="51" spans="1:6" x14ac:dyDescent="0.3">
      <c r="A51" s="1" t="s">
        <v>254</v>
      </c>
      <c r="B51">
        <v>361034</v>
      </c>
      <c r="C51">
        <v>278588</v>
      </c>
      <c r="D51">
        <v>410157</v>
      </c>
      <c r="E51">
        <v>196169</v>
      </c>
      <c r="F51">
        <v>216868</v>
      </c>
    </row>
    <row r="52" spans="1:6" x14ac:dyDescent="0.3">
      <c r="A52" s="1" t="s">
        <v>255</v>
      </c>
      <c r="B52">
        <v>17900</v>
      </c>
      <c r="C52">
        <v>14565</v>
      </c>
      <c r="D52">
        <v>17893</v>
      </c>
      <c r="E52">
        <v>27721</v>
      </c>
      <c r="F52">
        <v>42249</v>
      </c>
    </row>
    <row r="53" spans="1:6" x14ac:dyDescent="0.3">
      <c r="A53" s="1" t="s">
        <v>256</v>
      </c>
      <c r="C53">
        <v>3274908</v>
      </c>
      <c r="D53">
        <v>2794077</v>
      </c>
      <c r="E53">
        <v>2454051</v>
      </c>
      <c r="F53">
        <v>1695163</v>
      </c>
    </row>
    <row r="54" spans="1:6" x14ac:dyDescent="0.3">
      <c r="A54" s="1" t="s">
        <v>257</v>
      </c>
      <c r="B54">
        <v>382575</v>
      </c>
      <c r="C54">
        <v>1448</v>
      </c>
      <c r="D54">
        <v>965</v>
      </c>
      <c r="E54">
        <v>1944</v>
      </c>
      <c r="F54">
        <v>1332</v>
      </c>
    </row>
    <row r="55" spans="1:6" x14ac:dyDescent="0.3">
      <c r="A55" s="1" t="s">
        <v>258</v>
      </c>
      <c r="B55">
        <v>50612</v>
      </c>
      <c r="C55">
        <v>176736</v>
      </c>
      <c r="D55">
        <v>120034</v>
      </c>
      <c r="E55">
        <v>93017</v>
      </c>
      <c r="F55">
        <v>80509</v>
      </c>
    </row>
    <row r="56" spans="1:6" x14ac:dyDescent="0.3">
      <c r="A56" s="1" t="s">
        <v>259</v>
      </c>
      <c r="B56">
        <v>4362006</v>
      </c>
    </row>
    <row r="57" spans="1:6" x14ac:dyDescent="0.3">
      <c r="A57" s="1" t="s">
        <v>260</v>
      </c>
      <c r="B57">
        <v>3877</v>
      </c>
      <c r="C57">
        <v>128264</v>
      </c>
      <c r="D57">
        <v>86054</v>
      </c>
      <c r="E57">
        <v>60993</v>
      </c>
      <c r="F57">
        <v>43640</v>
      </c>
    </row>
    <row r="58" spans="1:6" x14ac:dyDescent="0.3">
      <c r="A58" s="1"/>
    </row>
    <row r="59" spans="1:6" x14ac:dyDescent="0.3">
      <c r="A59" s="1" t="s">
        <v>261</v>
      </c>
      <c r="B59">
        <v>2024</v>
      </c>
      <c r="C59">
        <v>2023</v>
      </c>
      <c r="D59">
        <v>2022</v>
      </c>
      <c r="E59">
        <v>2021</v>
      </c>
      <c r="F59">
        <v>2020</v>
      </c>
    </row>
    <row r="60" spans="1:6" x14ac:dyDescent="0.3">
      <c r="A60" s="1" t="s">
        <v>262</v>
      </c>
      <c r="B60">
        <v>2557453</v>
      </c>
      <c r="C60">
        <v>1771540</v>
      </c>
      <c r="D60">
        <v>1253422</v>
      </c>
      <c r="E60">
        <v>1326331</v>
      </c>
      <c r="F60">
        <v>819922</v>
      </c>
    </row>
    <row r="61" spans="1:6" x14ac:dyDescent="0.3">
      <c r="A61" s="1" t="s">
        <v>263</v>
      </c>
      <c r="B61">
        <v>1793563</v>
      </c>
      <c r="C61">
        <v>1738981</v>
      </c>
      <c r="D61">
        <v>1401618</v>
      </c>
      <c r="E61">
        <v>978409</v>
      </c>
      <c r="F61">
        <v>789000</v>
      </c>
    </row>
    <row r="62" spans="1:6" x14ac:dyDescent="0.3">
      <c r="A62" s="1" t="s">
        <v>264</v>
      </c>
      <c r="B62">
        <v>409179</v>
      </c>
      <c r="C62">
        <v>356828</v>
      </c>
      <c r="D62">
        <v>300129</v>
      </c>
      <c r="E62">
        <v>247343</v>
      </c>
      <c r="F62">
        <v>198146</v>
      </c>
    </row>
    <row r="63" spans="1:6" x14ac:dyDescent="0.3">
      <c r="A63" s="1" t="s">
        <v>265</v>
      </c>
      <c r="B63">
        <v>115252</v>
      </c>
      <c r="C63">
        <v>138310</v>
      </c>
      <c r="D63">
        <v>136324</v>
      </c>
      <c r="E63">
        <v>45647</v>
      </c>
      <c r="F63">
        <v>50881</v>
      </c>
    </row>
    <row r="64" spans="1:6" x14ac:dyDescent="0.3">
      <c r="A64" s="1" t="s">
        <v>266</v>
      </c>
      <c r="B64">
        <v>10372</v>
      </c>
      <c r="C64">
        <v>6531</v>
      </c>
      <c r="D64">
        <v>14540</v>
      </c>
      <c r="E64">
        <v>7423</v>
      </c>
      <c r="F64">
        <v>2264</v>
      </c>
    </row>
    <row r="65" spans="1:6" x14ac:dyDescent="0.3">
      <c r="A65" s="1" t="s">
        <v>267</v>
      </c>
      <c r="B65">
        <v>-417176</v>
      </c>
      <c r="C65">
        <v>-291839</v>
      </c>
      <c r="D65">
        <v>-234653</v>
      </c>
      <c r="E65">
        <v>-173004</v>
      </c>
      <c r="F65">
        <v>-138680</v>
      </c>
    </row>
    <row r="66" spans="1:6" x14ac:dyDescent="0.3">
      <c r="A66" s="1" t="s">
        <v>268</v>
      </c>
      <c r="C66">
        <v>5589</v>
      </c>
      <c r="D66">
        <v>-12</v>
      </c>
      <c r="E66">
        <v>2595</v>
      </c>
      <c r="F66">
        <v>1326</v>
      </c>
    </row>
    <row r="67" spans="1:6" x14ac:dyDescent="0.3">
      <c r="A67" s="1" t="s">
        <v>269</v>
      </c>
      <c r="B67">
        <v>-424123</v>
      </c>
      <c r="C67">
        <v>-660081</v>
      </c>
      <c r="D67">
        <v>-605315</v>
      </c>
      <c r="E67">
        <v>-498316</v>
      </c>
      <c r="F67">
        <v>-251152</v>
      </c>
    </row>
    <row r="68" spans="1:6" x14ac:dyDescent="0.3">
      <c r="A68" s="1" t="s">
        <v>270</v>
      </c>
      <c r="B68">
        <v>-55966</v>
      </c>
      <c r="C68">
        <v>-54668</v>
      </c>
      <c r="D68">
        <v>14540</v>
      </c>
      <c r="E68">
        <v>-24880</v>
      </c>
      <c r="F68">
        <v>-43201</v>
      </c>
    </row>
    <row r="69" spans="1:6" x14ac:dyDescent="0.3">
      <c r="A69" s="1" t="s">
        <v>271</v>
      </c>
      <c r="B69">
        <v>1126352</v>
      </c>
      <c r="C69">
        <v>42634</v>
      </c>
      <c r="D69">
        <v>366502</v>
      </c>
      <c r="E69">
        <v>728449</v>
      </c>
      <c r="F69">
        <v>197916</v>
      </c>
    </row>
    <row r="70" spans="1:6" x14ac:dyDescent="0.3">
      <c r="A70" s="1" t="s">
        <v>272</v>
      </c>
      <c r="C70">
        <v>42634</v>
      </c>
      <c r="D70">
        <v>25226</v>
      </c>
      <c r="E70">
        <v>14733</v>
      </c>
      <c r="F70">
        <v>13060</v>
      </c>
    </row>
    <row r="71" spans="1:6" x14ac:dyDescent="0.3">
      <c r="A71" s="1" t="s">
        <v>273</v>
      </c>
      <c r="C71">
        <v>-4691</v>
      </c>
      <c r="D71">
        <v>1859</v>
      </c>
      <c r="E71">
        <v>-2068</v>
      </c>
      <c r="F71">
        <v>362</v>
      </c>
    </row>
    <row r="72" spans="1:6" x14ac:dyDescent="0.3">
      <c r="A72" s="1" t="s">
        <v>274</v>
      </c>
      <c r="B72">
        <v>-1596909</v>
      </c>
      <c r="C72">
        <v>-11158256</v>
      </c>
      <c r="D72">
        <v>-1434563</v>
      </c>
      <c r="E72">
        <v>-1330728</v>
      </c>
      <c r="F72">
        <v>-1000136</v>
      </c>
    </row>
    <row r="73" spans="1:6" x14ac:dyDescent="0.3">
      <c r="A73" s="1" t="s">
        <v>275</v>
      </c>
      <c r="B73">
        <v>2430</v>
      </c>
      <c r="C73">
        <v>5735</v>
      </c>
      <c r="D73">
        <v>6287</v>
      </c>
      <c r="E73">
        <v>4263</v>
      </c>
      <c r="F73">
        <v>1403</v>
      </c>
    </row>
    <row r="74" spans="1:6" x14ac:dyDescent="0.3">
      <c r="A74" s="1" t="s">
        <v>276</v>
      </c>
      <c r="B74">
        <v>-1561914</v>
      </c>
      <c r="C74">
        <v>-1172863</v>
      </c>
      <c r="D74">
        <v>-1445905</v>
      </c>
      <c r="E74">
        <v>-1335604</v>
      </c>
      <c r="F74">
        <v>-1002025</v>
      </c>
    </row>
    <row r="75" spans="1:6" x14ac:dyDescent="0.3">
      <c r="A75" s="1" t="s">
        <v>277</v>
      </c>
      <c r="B75">
        <v>-42837</v>
      </c>
    </row>
    <row r="76" spans="1:6" x14ac:dyDescent="0.3">
      <c r="A76" s="1" t="s">
        <v>278</v>
      </c>
      <c r="B76">
        <v>1859</v>
      </c>
      <c r="C76">
        <v>1831</v>
      </c>
      <c r="D76">
        <v>1710</v>
      </c>
      <c r="E76">
        <v>1415</v>
      </c>
      <c r="F76">
        <v>825</v>
      </c>
    </row>
    <row r="77" spans="1:6" x14ac:dyDescent="0.3">
      <c r="A77" s="1" t="s">
        <v>279</v>
      </c>
      <c r="B77">
        <v>-2419</v>
      </c>
      <c r="C77">
        <v>-1965</v>
      </c>
      <c r="D77">
        <v>-1624</v>
      </c>
      <c r="E77">
        <v>-1800</v>
      </c>
      <c r="F77">
        <v>-1470</v>
      </c>
    </row>
    <row r="78" spans="1:6" x14ac:dyDescent="0.3">
      <c r="A78" s="1" t="s">
        <v>280</v>
      </c>
      <c r="B78">
        <v>5972</v>
      </c>
      <c r="C78">
        <v>9006</v>
      </c>
      <c r="D78">
        <v>4969</v>
      </c>
      <c r="E78">
        <v>998</v>
      </c>
      <c r="F78">
        <v>1131</v>
      </c>
    </row>
    <row r="79" spans="1:6" x14ac:dyDescent="0.3">
      <c r="A79" s="1" t="s">
        <v>281</v>
      </c>
      <c r="B79">
        <v>-287911</v>
      </c>
      <c r="C79">
        <v>-777613</v>
      </c>
      <c r="D79">
        <v>145244</v>
      </c>
      <c r="E79">
        <v>-57406</v>
      </c>
      <c r="F79">
        <v>265912</v>
      </c>
    </row>
    <row r="80" spans="1:6" x14ac:dyDescent="0.3">
      <c r="A80" s="1" t="s">
        <v>282</v>
      </c>
      <c r="D80">
        <v>170000</v>
      </c>
      <c r="E80">
        <v>200000</v>
      </c>
      <c r="F80">
        <v>250000</v>
      </c>
    </row>
    <row r="81" spans="1:6" x14ac:dyDescent="0.3">
      <c r="A81" s="1" t="s">
        <v>283</v>
      </c>
      <c r="C81">
        <v>-250000</v>
      </c>
      <c r="D81">
        <v>-170000</v>
      </c>
      <c r="F81">
        <v>-100000</v>
      </c>
    </row>
    <row r="82" spans="1:6" x14ac:dyDescent="0.3">
      <c r="A82" s="1" t="s">
        <v>284</v>
      </c>
      <c r="B82">
        <v>199961</v>
      </c>
      <c r="C82">
        <v>61378</v>
      </c>
      <c r="D82">
        <v>648366</v>
      </c>
      <c r="E82">
        <v>57636</v>
      </c>
      <c r="F82">
        <v>401369</v>
      </c>
    </row>
    <row r="83" spans="1:6" x14ac:dyDescent="0.3">
      <c r="A83" s="1" t="s">
        <v>285</v>
      </c>
      <c r="B83">
        <v>-322719</v>
      </c>
      <c r="C83">
        <v>-414180</v>
      </c>
      <c r="D83">
        <v>-326529</v>
      </c>
      <c r="E83">
        <v>-221173</v>
      </c>
      <c r="F83">
        <v>-175110</v>
      </c>
    </row>
    <row r="84" spans="1:6" x14ac:dyDescent="0.3">
      <c r="A84" s="1" t="s">
        <v>286</v>
      </c>
      <c r="B84">
        <v>-43861</v>
      </c>
      <c r="C84">
        <v>-25837</v>
      </c>
      <c r="D84">
        <v>-47531</v>
      </c>
      <c r="E84">
        <v>-47224</v>
      </c>
      <c r="F84">
        <v>-58335</v>
      </c>
    </row>
    <row r="85" spans="1:6" x14ac:dyDescent="0.3">
      <c r="A85" s="1" t="s">
        <v>287</v>
      </c>
      <c r="B85">
        <v>-121292</v>
      </c>
      <c r="C85">
        <v>-148974</v>
      </c>
      <c r="D85">
        <v>-129062</v>
      </c>
      <c r="E85">
        <v>-46645</v>
      </c>
      <c r="F85">
        <v>-52012</v>
      </c>
    </row>
    <row r="86" spans="1:6" x14ac:dyDescent="0.3">
      <c r="A86" s="1" t="s">
        <v>288</v>
      </c>
      <c r="B86">
        <v>672633</v>
      </c>
      <c r="C86">
        <v>-164329</v>
      </c>
      <c r="D86">
        <v>-35897</v>
      </c>
      <c r="E86">
        <v>-61803</v>
      </c>
      <c r="F86">
        <v>85698</v>
      </c>
    </row>
    <row r="87" spans="1:6" x14ac:dyDescent="0.3">
      <c r="A87" s="1" t="s">
        <v>289</v>
      </c>
      <c r="B87">
        <v>218389</v>
      </c>
      <c r="C87">
        <v>382718</v>
      </c>
      <c r="D87">
        <v>418615</v>
      </c>
      <c r="E87">
        <v>480418</v>
      </c>
      <c r="F87">
        <v>394720</v>
      </c>
    </row>
    <row r="88" spans="1:6" x14ac:dyDescent="0.3">
      <c r="A88" s="1" t="s">
        <v>290</v>
      </c>
      <c r="B88">
        <v>891022</v>
      </c>
      <c r="C88">
        <v>218389</v>
      </c>
      <c r="D88">
        <v>382718</v>
      </c>
      <c r="E88">
        <v>418615</v>
      </c>
      <c r="F88">
        <v>480418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15A1-5310-4396-87DA-6D71DEA0A048}">
  <dimension ref="A3:L28"/>
  <sheetViews>
    <sheetView zoomScale="85" zoomScaleNormal="85" workbookViewId="0"/>
  </sheetViews>
  <sheetFormatPr defaultRowHeight="14.4" x14ac:dyDescent="0.3"/>
  <cols>
    <col min="1" max="1" width="45.77734375" bestFit="1" customWidth="1"/>
    <col min="2" max="6" width="12.109375" bestFit="1" customWidth="1"/>
    <col min="8" max="8" width="10.33203125" bestFit="1" customWidth="1"/>
  </cols>
  <sheetData>
    <row r="3" spans="1:12" x14ac:dyDescent="0.3">
      <c r="A3" s="11"/>
      <c r="B3" s="12"/>
      <c r="C3" s="12"/>
      <c r="D3" s="12"/>
      <c r="E3" s="12"/>
      <c r="F3" s="12"/>
    </row>
    <row r="4" spans="1:12" x14ac:dyDescent="0.3">
      <c r="A4" s="11"/>
      <c r="B4" s="12"/>
      <c r="C4" s="12"/>
      <c r="D4" s="12"/>
      <c r="E4" s="12"/>
      <c r="F4" s="12"/>
    </row>
    <row r="7" spans="1:12" x14ac:dyDescent="0.3">
      <c r="B7" s="11"/>
      <c r="C7" s="11"/>
      <c r="D7" s="11"/>
      <c r="E7" s="11"/>
      <c r="F7" s="11"/>
    </row>
    <row r="9" spans="1:12" x14ac:dyDescent="0.3">
      <c r="B9" s="4"/>
      <c r="C9" s="4"/>
      <c r="D9" s="4"/>
      <c r="E9" s="4"/>
      <c r="F9" s="4"/>
    </row>
    <row r="11" spans="1:12" x14ac:dyDescent="0.3">
      <c r="B11">
        <v>2024</v>
      </c>
      <c r="C11">
        <v>2023</v>
      </c>
      <c r="D11">
        <v>2022</v>
      </c>
      <c r="E11">
        <v>2021</v>
      </c>
      <c r="F11">
        <v>2020</v>
      </c>
      <c r="H11" t="s">
        <v>297</v>
      </c>
    </row>
    <row r="12" spans="1:12" x14ac:dyDescent="0.3">
      <c r="A12" s="1" t="s">
        <v>245</v>
      </c>
      <c r="B12">
        <v>170000</v>
      </c>
      <c r="C12">
        <v>370000</v>
      </c>
      <c r="D12">
        <v>370000</v>
      </c>
      <c r="E12">
        <v>450000</v>
      </c>
      <c r="F12">
        <v>419936</v>
      </c>
    </row>
    <row r="13" spans="1:12" x14ac:dyDescent="0.3">
      <c r="A13" s="1" t="s">
        <v>246</v>
      </c>
      <c r="B13">
        <v>272219</v>
      </c>
      <c r="C13">
        <v>469629</v>
      </c>
      <c r="D13">
        <v>690862</v>
      </c>
      <c r="E13">
        <v>583014</v>
      </c>
      <c r="F13">
        <v>725851</v>
      </c>
      <c r="H13" s="14">
        <v>224261</v>
      </c>
      <c r="I13" s="14"/>
    </row>
    <row r="14" spans="1:12" x14ac:dyDescent="0.3">
      <c r="A14" s="1" t="s">
        <v>251</v>
      </c>
      <c r="B14">
        <v>60818</v>
      </c>
      <c r="C14">
        <v>35612</v>
      </c>
      <c r="D14">
        <v>34673</v>
      </c>
      <c r="E14">
        <v>46621</v>
      </c>
      <c r="F14">
        <v>67876</v>
      </c>
      <c r="H14" s="14">
        <v>74581</v>
      </c>
      <c r="I14" s="14"/>
    </row>
    <row r="15" spans="1:12" ht="14.4" customHeight="1" x14ac:dyDescent="0.3">
      <c r="A15" s="11" t="s">
        <v>197</v>
      </c>
      <c r="B15">
        <f>SUM(B12:B14)/1000</f>
        <v>503.03699999999998</v>
      </c>
      <c r="C15">
        <f t="shared" ref="C15:F15" si="0">SUM(C12:C14)/1000</f>
        <v>875.24099999999999</v>
      </c>
      <c r="D15">
        <f t="shared" si="0"/>
        <v>1095.5350000000001</v>
      </c>
      <c r="E15">
        <f t="shared" si="0"/>
        <v>1079.635</v>
      </c>
      <c r="F15">
        <f t="shared" si="0"/>
        <v>1213.663</v>
      </c>
      <c r="G15" s="13"/>
      <c r="H15" s="14">
        <f>SUM(H13:H14)/1000</f>
        <v>298.84199999999998</v>
      </c>
      <c r="I15" s="14"/>
      <c r="J15" s="13"/>
      <c r="K15" s="13"/>
      <c r="L15" s="13"/>
    </row>
    <row r="16" spans="1:12" x14ac:dyDescent="0.3">
      <c r="D16" s="11"/>
      <c r="E16" s="11"/>
      <c r="F16" s="11"/>
      <c r="G16" s="13"/>
      <c r="J16" s="13"/>
      <c r="K16" s="13"/>
      <c r="L16" s="13"/>
    </row>
    <row r="17" spans="1:9" x14ac:dyDescent="0.3">
      <c r="A17" s="1" t="s">
        <v>253</v>
      </c>
      <c r="B17">
        <v>204845</v>
      </c>
      <c r="C17">
        <v>4784</v>
      </c>
      <c r="D17">
        <v>260947</v>
      </c>
      <c r="E17">
        <v>171642</v>
      </c>
      <c r="F17">
        <v>930</v>
      </c>
      <c r="H17" s="14">
        <v>374432</v>
      </c>
      <c r="I17" s="14"/>
    </row>
    <row r="18" spans="1:9" x14ac:dyDescent="0.3">
      <c r="A18" s="1" t="s">
        <v>254</v>
      </c>
      <c r="B18">
        <v>361034</v>
      </c>
      <c r="C18">
        <v>278588</v>
      </c>
      <c r="D18">
        <v>410157</v>
      </c>
      <c r="E18">
        <v>196169</v>
      </c>
      <c r="F18">
        <v>216868</v>
      </c>
      <c r="H18" s="14">
        <v>168597</v>
      </c>
      <c r="I18" s="14"/>
    </row>
    <row r="19" spans="1:9" x14ac:dyDescent="0.3">
      <c r="A19" s="1" t="s">
        <v>255</v>
      </c>
      <c r="B19">
        <v>17900</v>
      </c>
      <c r="C19">
        <v>14565</v>
      </c>
      <c r="D19">
        <v>17893</v>
      </c>
      <c r="E19">
        <v>27721</v>
      </c>
      <c r="F19">
        <v>42249</v>
      </c>
      <c r="H19" s="14">
        <v>15603</v>
      </c>
      <c r="I19" s="14"/>
    </row>
    <row r="20" spans="1:9" x14ac:dyDescent="0.3">
      <c r="A20" s="11" t="s">
        <v>198</v>
      </c>
      <c r="B20">
        <f>SUM(B17:B19)/1000</f>
        <v>583.779</v>
      </c>
      <c r="C20">
        <f t="shared" ref="C20:F20" si="1">SUM(C17:C19)/1000</f>
        <v>297.93700000000001</v>
      </c>
      <c r="D20">
        <f t="shared" si="1"/>
        <v>688.99699999999996</v>
      </c>
      <c r="E20">
        <f t="shared" si="1"/>
        <v>395.53199999999998</v>
      </c>
      <c r="F20">
        <f t="shared" si="1"/>
        <v>260.04700000000003</v>
      </c>
      <c r="H20">
        <f>SUM(H17:H19)/1000</f>
        <v>558.63199999999995</v>
      </c>
    </row>
    <row r="21" spans="1:9" x14ac:dyDescent="0.3">
      <c r="H21" s="14"/>
      <c r="I21" s="14"/>
    </row>
    <row r="22" spans="1:9" x14ac:dyDescent="0.3">
      <c r="A22" t="s">
        <v>199</v>
      </c>
      <c r="B22">
        <f>B15+B20</f>
        <v>1086.816</v>
      </c>
      <c r="C22">
        <f t="shared" ref="C22:F22" si="2">C15+C20</f>
        <v>1173.1779999999999</v>
      </c>
      <c r="D22">
        <f t="shared" si="2"/>
        <v>1784.5320000000002</v>
      </c>
      <c r="E22">
        <f t="shared" si="2"/>
        <v>1475.1669999999999</v>
      </c>
      <c r="F22">
        <f t="shared" si="2"/>
        <v>1473.71</v>
      </c>
      <c r="H22" s="14">
        <f>SUM(H20,H15)</f>
        <v>857.47399999999993</v>
      </c>
      <c r="I22" s="10"/>
    </row>
    <row r="23" spans="1:9" x14ac:dyDescent="0.3">
      <c r="A23" s="1" t="s">
        <v>287</v>
      </c>
      <c r="B23">
        <f>121292/1000</f>
        <v>121.292</v>
      </c>
      <c r="C23">
        <f>148974/1000</f>
        <v>148.97399999999999</v>
      </c>
      <c r="D23">
        <f>129062/1000</f>
        <v>129.06200000000001</v>
      </c>
      <c r="E23">
        <f>46645/1000</f>
        <v>46.645000000000003</v>
      </c>
      <c r="F23">
        <f>52012/1000</f>
        <v>52.012</v>
      </c>
    </row>
    <row r="24" spans="1:9" x14ac:dyDescent="0.3">
      <c r="A24" s="1" t="s">
        <v>291</v>
      </c>
      <c r="B24" s="4">
        <f>B23/B22</f>
        <v>0.11160306804463681</v>
      </c>
      <c r="C24" s="4">
        <f t="shared" ref="C24:F24" si="3">C23/C22</f>
        <v>0.12698328812848519</v>
      </c>
      <c r="D24" s="4">
        <f t="shared" si="3"/>
        <v>7.2322603349225453E-2</v>
      </c>
      <c r="E24" s="4">
        <f t="shared" si="3"/>
        <v>3.1620148769596935E-2</v>
      </c>
      <c r="F24" s="4">
        <f t="shared" si="3"/>
        <v>3.5293239511165697E-2</v>
      </c>
    </row>
    <row r="27" spans="1:9" x14ac:dyDescent="0.3">
      <c r="A27" t="s">
        <v>312</v>
      </c>
      <c r="H27">
        <v>574.91700000000003</v>
      </c>
    </row>
    <row r="28" spans="1:9" x14ac:dyDescent="0.3">
      <c r="A28" t="s">
        <v>313</v>
      </c>
      <c r="H28">
        <f>H22-H27</f>
        <v>282.5569999999999</v>
      </c>
    </row>
  </sheetData>
  <mergeCells count="4">
    <mergeCell ref="J15:J16"/>
    <mergeCell ref="K15:K16"/>
    <mergeCell ref="L15:L16"/>
    <mergeCell ref="G15:G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79B2-DEB6-4244-920B-39FF312A4DE0}">
  <dimension ref="B1:O41"/>
  <sheetViews>
    <sheetView showGridLines="0" showRowColHeaders="0" tabSelected="1" zoomScale="85" zoomScaleNormal="85" workbookViewId="0"/>
  </sheetViews>
  <sheetFormatPr defaultRowHeight="16.8" x14ac:dyDescent="0.4"/>
  <cols>
    <col min="1" max="1" width="8.88671875" style="18"/>
    <col min="2" max="2" width="34.33203125" style="18" customWidth="1"/>
    <col min="3" max="3" width="24.33203125" style="18" bestFit="1" customWidth="1"/>
    <col min="4" max="4" width="15" style="18" customWidth="1"/>
    <col min="5" max="5" width="20.6640625" style="18" customWidth="1"/>
    <col min="6" max="6" width="17.77734375" style="18" bestFit="1" customWidth="1"/>
    <col min="7" max="7" width="12" style="18" bestFit="1" customWidth="1"/>
    <col min="8" max="8" width="11.33203125" style="18" customWidth="1"/>
    <col min="9" max="16384" width="8.88671875" style="18"/>
  </cols>
  <sheetData>
    <row r="1" spans="2:15" x14ac:dyDescent="0.4">
      <c r="B1" s="125" t="s">
        <v>365</v>
      </c>
    </row>
    <row r="2" spans="2:15" ht="36.6" customHeight="1" x14ac:dyDescent="0.4">
      <c r="B2" s="34" t="s">
        <v>326</v>
      </c>
      <c r="C2" s="33" t="s">
        <v>329</v>
      </c>
      <c r="D2" s="31" t="s">
        <v>327</v>
      </c>
      <c r="E2" s="31" t="s">
        <v>328</v>
      </c>
      <c r="F2" s="37" t="s">
        <v>369</v>
      </c>
      <c r="G2" s="37"/>
      <c r="H2" s="37"/>
      <c r="I2" s="37"/>
      <c r="J2" s="37"/>
      <c r="K2" s="37"/>
    </row>
    <row r="3" spans="2:15" ht="16.8" customHeight="1" x14ac:dyDescent="0.4">
      <c r="B3" s="164" t="s">
        <v>348</v>
      </c>
      <c r="C3" s="90">
        <f>Valuation!B34</f>
        <v>29.253360114729215</v>
      </c>
      <c r="D3" s="90">
        <v>39.630000000000003</v>
      </c>
      <c r="E3" s="91">
        <f>(C3-D3)/D3</f>
        <v>-0.26183799861899537</v>
      </c>
      <c r="F3" s="30" t="s">
        <v>371</v>
      </c>
      <c r="G3" s="30"/>
      <c r="H3" s="30"/>
      <c r="I3" s="30"/>
      <c r="J3" s="30"/>
      <c r="K3" s="30"/>
    </row>
    <row r="4" spans="2:15" x14ac:dyDescent="0.4">
      <c r="F4" s="30"/>
      <c r="G4" s="30"/>
      <c r="H4" s="30"/>
      <c r="I4" s="30"/>
      <c r="J4" s="30"/>
      <c r="K4" s="30"/>
      <c r="L4" s="22"/>
      <c r="M4" s="22"/>
      <c r="N4" s="22"/>
      <c r="O4" s="22"/>
    </row>
    <row r="5" spans="2:15" x14ac:dyDescent="0.4">
      <c r="C5" s="26"/>
      <c r="D5" s="26"/>
      <c r="E5" s="26"/>
      <c r="F5" s="30"/>
      <c r="G5" s="30"/>
      <c r="H5" s="30"/>
      <c r="I5" s="30"/>
      <c r="J5" s="30"/>
      <c r="K5" s="30"/>
      <c r="L5" s="19"/>
      <c r="M5" s="19"/>
      <c r="N5" s="19"/>
      <c r="O5" s="19"/>
    </row>
    <row r="6" spans="2:15" x14ac:dyDescent="0.4">
      <c r="B6" s="33" t="s">
        <v>164</v>
      </c>
      <c r="C6" s="33" t="s">
        <v>334</v>
      </c>
      <c r="D6" s="33" t="s">
        <v>180</v>
      </c>
      <c r="E6" s="33" t="s">
        <v>330</v>
      </c>
      <c r="F6" s="30"/>
      <c r="G6" s="30"/>
      <c r="H6" s="30"/>
      <c r="I6" s="30"/>
      <c r="J6" s="30"/>
      <c r="K6" s="30"/>
      <c r="L6" s="19"/>
      <c r="M6" s="19"/>
      <c r="N6" s="19"/>
      <c r="O6" s="19"/>
    </row>
    <row r="7" spans="2:15" x14ac:dyDescent="0.4">
      <c r="B7" s="156" t="s">
        <v>7</v>
      </c>
      <c r="C7" s="86">
        <f>Historicals!G3</f>
        <v>32490.261999999999</v>
      </c>
      <c r="D7" s="86">
        <f>Forecast!G6</f>
        <v>50002.851989361436</v>
      </c>
      <c r="E7" s="87">
        <f>(D7-C7)/C7</f>
        <v>0.53901042685840572</v>
      </c>
      <c r="F7" s="26"/>
      <c r="G7" s="26"/>
      <c r="H7" s="26"/>
      <c r="I7" s="26"/>
      <c r="J7" s="26"/>
      <c r="K7" s="26"/>
    </row>
    <row r="8" spans="2:15" x14ac:dyDescent="0.4">
      <c r="B8" s="156" t="s">
        <v>331</v>
      </c>
      <c r="C8" s="88">
        <f>Historicals!G4</f>
        <v>2085.1979999999999</v>
      </c>
      <c r="D8" s="88">
        <f>Forecast!G8</f>
        <v>3050.1739713510474</v>
      </c>
      <c r="E8" s="87">
        <f>(D8-C8)/C8</f>
        <v>0.4627742647705626</v>
      </c>
      <c r="F8" s="30" t="s">
        <v>370</v>
      </c>
      <c r="G8" s="30"/>
      <c r="H8" s="30"/>
      <c r="I8" s="30"/>
      <c r="J8" s="30"/>
      <c r="K8" s="30"/>
    </row>
    <row r="9" spans="2:15" x14ac:dyDescent="0.4">
      <c r="B9" s="156" t="s">
        <v>332</v>
      </c>
      <c r="C9" s="71">
        <f>Historicals!G10</f>
        <v>6.4179168515169249E-2</v>
      </c>
      <c r="D9" s="71">
        <f>Forecast!G7</f>
        <v>6.0999999999999999E-2</v>
      </c>
      <c r="E9" s="89" t="str">
        <f>TEXT((D9-C9)*100,"0,00")&amp;" p.p"</f>
        <v>-0,32 p.p</v>
      </c>
      <c r="F9" s="30"/>
      <c r="G9" s="30"/>
      <c r="H9" s="30"/>
      <c r="I9" s="30"/>
      <c r="J9" s="30"/>
      <c r="K9" s="30"/>
    </row>
    <row r="10" spans="2:15" x14ac:dyDescent="0.4">
      <c r="B10" s="156" t="s">
        <v>333</v>
      </c>
      <c r="C10" s="68">
        <f>Historicals!G15</f>
        <v>224.41837999999964</v>
      </c>
      <c r="D10" s="68">
        <f>Forecast!G18</f>
        <v>720.54109716669791</v>
      </c>
      <c r="E10" s="87">
        <f>(D10-C10)/C10</f>
        <v>2.2107044760179586</v>
      </c>
      <c r="F10" s="30"/>
      <c r="G10" s="30"/>
      <c r="H10" s="30"/>
      <c r="I10" s="30"/>
      <c r="J10" s="30"/>
      <c r="K10" s="30"/>
    </row>
    <row r="11" spans="2:15" x14ac:dyDescent="0.4">
      <c r="F11" s="30"/>
      <c r="G11" s="30"/>
      <c r="H11" s="30"/>
      <c r="I11" s="30"/>
      <c r="J11" s="30"/>
      <c r="K11" s="30"/>
    </row>
    <row r="12" spans="2:15" x14ac:dyDescent="0.4">
      <c r="F12" s="26"/>
      <c r="G12" s="26"/>
      <c r="H12" s="26"/>
      <c r="I12" s="26"/>
      <c r="J12" s="26"/>
      <c r="K12" s="26"/>
    </row>
    <row r="13" spans="2:15" ht="16.8" customHeight="1" x14ac:dyDescent="0.4">
      <c r="F13" s="30" t="s">
        <v>372</v>
      </c>
      <c r="G13" s="30"/>
      <c r="H13" s="30"/>
      <c r="I13" s="30"/>
      <c r="J13" s="30"/>
      <c r="K13" s="30"/>
    </row>
    <row r="14" spans="2:15" x14ac:dyDescent="0.4">
      <c r="F14" s="30"/>
      <c r="G14" s="30"/>
      <c r="H14" s="30"/>
      <c r="I14" s="30"/>
      <c r="J14" s="30"/>
      <c r="K14" s="30"/>
    </row>
    <row r="15" spans="2:15" x14ac:dyDescent="0.4">
      <c r="F15" s="30"/>
      <c r="G15" s="30"/>
      <c r="H15" s="30"/>
      <c r="I15" s="30"/>
      <c r="J15" s="30"/>
      <c r="K15" s="30"/>
    </row>
    <row r="16" spans="2:15" x14ac:dyDescent="0.4">
      <c r="F16" s="30"/>
      <c r="G16" s="30"/>
      <c r="H16" s="30"/>
      <c r="I16" s="30"/>
      <c r="J16" s="30"/>
      <c r="K16" s="30"/>
    </row>
    <row r="17" spans="2:11" ht="16.8" customHeight="1" x14ac:dyDescent="0.4">
      <c r="F17" s="30"/>
      <c r="G17" s="30"/>
      <c r="H17" s="30"/>
      <c r="I17" s="30"/>
      <c r="J17" s="30"/>
      <c r="K17" s="30"/>
    </row>
    <row r="18" spans="2:11" x14ac:dyDescent="0.4">
      <c r="E18" s="29"/>
      <c r="F18" s="29"/>
      <c r="G18" s="29"/>
      <c r="H18" s="29"/>
    </row>
    <row r="19" spans="2:11" ht="16.8" customHeight="1" x14ac:dyDescent="0.4">
      <c r="G19" s="26" t="s">
        <v>364</v>
      </c>
    </row>
    <row r="20" spans="2:11" x14ac:dyDescent="0.4">
      <c r="G20" s="38" t="s">
        <v>363</v>
      </c>
      <c r="H20" s="39">
        <v>0.02</v>
      </c>
      <c r="I20" s="39">
        <v>2.5000000000000001E-2</v>
      </c>
      <c r="J20" s="39">
        <v>0.03</v>
      </c>
    </row>
    <row r="21" spans="2:11" x14ac:dyDescent="0.4">
      <c r="G21" s="163">
        <v>7.4999999999999997E-2</v>
      </c>
      <c r="H21" s="90">
        <v>31.199921405671265</v>
      </c>
      <c r="I21" s="90">
        <v>34.365120623274841</v>
      </c>
      <c r="J21" s="92">
        <v>38.233697444790316</v>
      </c>
    </row>
    <row r="22" spans="2:11" x14ac:dyDescent="0.4">
      <c r="G22" s="163">
        <v>8.3599999999999994E-2</v>
      </c>
      <c r="H22" s="90">
        <v>26.928881038548592</v>
      </c>
      <c r="I22" s="90">
        <v>29.264376415051107</v>
      </c>
      <c r="J22" s="90">
        <v>32.035598540901113</v>
      </c>
    </row>
    <row r="23" spans="2:11" x14ac:dyDescent="0.4">
      <c r="G23" s="163">
        <v>0.09</v>
      </c>
      <c r="H23" s="90">
        <v>24.432863518813779</v>
      </c>
      <c r="I23" s="90">
        <v>26.345896012969778</v>
      </c>
      <c r="J23" s="90">
        <v>28.577767256151791</v>
      </c>
    </row>
    <row r="24" spans="2:11" ht="20.399999999999999" customHeight="1" x14ac:dyDescent="0.4">
      <c r="G24" s="30" t="s">
        <v>345</v>
      </c>
      <c r="H24" s="30"/>
      <c r="I24" s="30"/>
      <c r="J24" s="30"/>
    </row>
    <row r="25" spans="2:11" x14ac:dyDescent="0.4">
      <c r="E25" s="40"/>
      <c r="F25" s="40"/>
      <c r="G25" s="30"/>
      <c r="H25" s="30"/>
      <c r="I25" s="30"/>
      <c r="J25" s="30"/>
    </row>
    <row r="26" spans="2:11" x14ac:dyDescent="0.4">
      <c r="F26" s="40"/>
      <c r="G26" s="30"/>
      <c r="H26" s="30"/>
      <c r="I26" s="30"/>
      <c r="J26" s="30"/>
    </row>
    <row r="27" spans="2:11" ht="16.8" customHeight="1" x14ac:dyDescent="0.4">
      <c r="B27" s="33" t="s">
        <v>335</v>
      </c>
      <c r="C27" s="33" t="s">
        <v>366</v>
      </c>
      <c r="D27" s="33" t="s">
        <v>367</v>
      </c>
      <c r="G27" s="30"/>
      <c r="H27" s="30"/>
      <c r="I27" s="30"/>
      <c r="J27" s="30"/>
    </row>
    <row r="28" spans="2:11" x14ac:dyDescent="0.4">
      <c r="B28" s="156" t="s">
        <v>343</v>
      </c>
      <c r="C28" s="93">
        <f>PRODUCT(Valuation!B33:B34)/RZiS!I42</f>
        <v>24.079649465118102</v>
      </c>
      <c r="D28" s="94">
        <f>PRODUCT(Valuation!B33:B34)/RZiS!G42</f>
        <v>18.33811986692745</v>
      </c>
    </row>
    <row r="29" spans="2:11" x14ac:dyDescent="0.4">
      <c r="B29" s="156" t="s">
        <v>347</v>
      </c>
      <c r="C29" s="93">
        <f>RZiS!H42/RZiS!I42</f>
        <v>32.398842363063757</v>
      </c>
      <c r="D29" s="94">
        <f>RZiS!H42/RZiS!G42</f>
        <v>24.673692017992845</v>
      </c>
    </row>
    <row r="30" spans="2:11" x14ac:dyDescent="0.4">
      <c r="B30" s="156" t="s">
        <v>342</v>
      </c>
      <c r="C30" s="93">
        <f>RZiS!H43/RZiS!I43</f>
        <v>16.643458283850457</v>
      </c>
      <c r="D30" s="94">
        <f>RZiS!H43/RZiS!G43</f>
        <v>10.855457634103344</v>
      </c>
    </row>
    <row r="31" spans="2:11" x14ac:dyDescent="0.4">
      <c r="B31" s="156" t="s">
        <v>368</v>
      </c>
      <c r="C31" s="93">
        <v>-32.04</v>
      </c>
      <c r="D31" s="94">
        <v>6.6</v>
      </c>
    </row>
    <row r="33" spans="2:10" x14ac:dyDescent="0.4">
      <c r="D33" s="36" t="s">
        <v>373</v>
      </c>
    </row>
    <row r="34" spans="2:10" x14ac:dyDescent="0.4">
      <c r="B34" s="27" t="s">
        <v>376</v>
      </c>
      <c r="C34" s="27"/>
      <c r="D34" s="27"/>
      <c r="E34" s="27"/>
      <c r="F34" s="27"/>
      <c r="G34" s="27"/>
      <c r="H34" s="27"/>
      <c r="I34" s="27"/>
      <c r="J34" s="27"/>
    </row>
    <row r="35" spans="2:10" x14ac:dyDescent="0.4">
      <c r="B35" s="27"/>
      <c r="C35" s="27"/>
      <c r="D35" s="27"/>
      <c r="E35" s="27"/>
      <c r="F35" s="27"/>
      <c r="G35" s="27"/>
      <c r="H35" s="27"/>
      <c r="I35" s="27"/>
      <c r="J35" s="27"/>
    </row>
    <row r="36" spans="2:10" x14ac:dyDescent="0.4">
      <c r="B36" s="35" t="s">
        <v>374</v>
      </c>
      <c r="C36" s="35"/>
      <c r="D36" s="35"/>
      <c r="E36" s="35"/>
      <c r="F36" s="35"/>
      <c r="G36" s="35"/>
      <c r="H36" s="35"/>
      <c r="I36" s="35"/>
      <c r="J36" s="35"/>
    </row>
    <row r="37" spans="2:10" x14ac:dyDescent="0.4">
      <c r="B37" s="35"/>
      <c r="C37" s="35"/>
      <c r="D37" s="35"/>
      <c r="E37" s="35"/>
      <c r="F37" s="35"/>
      <c r="G37" s="35"/>
      <c r="H37" s="35"/>
      <c r="I37" s="35"/>
      <c r="J37" s="35"/>
    </row>
    <row r="38" spans="2:10" x14ac:dyDescent="0.4">
      <c r="B38" s="35" t="s">
        <v>375</v>
      </c>
      <c r="C38" s="35"/>
      <c r="D38" s="35"/>
      <c r="E38" s="35"/>
      <c r="F38" s="35"/>
      <c r="G38" s="35"/>
      <c r="H38" s="35"/>
      <c r="I38" s="35"/>
      <c r="J38" s="35"/>
    </row>
    <row r="39" spans="2:10" x14ac:dyDescent="0.4">
      <c r="B39" s="35"/>
      <c r="C39" s="35"/>
      <c r="D39" s="35"/>
      <c r="E39" s="35"/>
      <c r="F39" s="35"/>
      <c r="G39" s="35"/>
      <c r="H39" s="35"/>
      <c r="I39" s="35"/>
      <c r="J39" s="35"/>
    </row>
    <row r="40" spans="2:10" x14ac:dyDescent="0.4">
      <c r="B40" s="35" t="s">
        <v>377</v>
      </c>
      <c r="C40" s="35"/>
      <c r="D40" s="35"/>
      <c r="E40" s="35"/>
      <c r="F40" s="35"/>
      <c r="G40" s="35"/>
      <c r="H40" s="35"/>
      <c r="I40" s="35"/>
      <c r="J40" s="35"/>
    </row>
    <row r="41" spans="2:10" x14ac:dyDescent="0.4">
      <c r="B41" s="35"/>
      <c r="C41" s="35"/>
      <c r="D41" s="35"/>
      <c r="E41" s="35"/>
      <c r="F41" s="35"/>
      <c r="G41" s="35"/>
      <c r="H41" s="35"/>
      <c r="I41" s="35"/>
      <c r="J41" s="35"/>
    </row>
  </sheetData>
  <sheetProtection sheet="1" objects="1" scenarios="1"/>
  <mergeCells count="9">
    <mergeCell ref="B36:J37"/>
    <mergeCell ref="B38:J39"/>
    <mergeCell ref="B40:J41"/>
    <mergeCell ref="G24:J27"/>
    <mergeCell ref="F2:K2"/>
    <mergeCell ref="B34:J35"/>
    <mergeCell ref="F3:K6"/>
    <mergeCell ref="F8:K11"/>
    <mergeCell ref="F13:K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63FE-D87A-44F3-A11E-23887E3E8CA7}">
  <dimension ref="A1:K15"/>
  <sheetViews>
    <sheetView showGridLines="0" zoomScale="115" zoomScaleNormal="115" zoomScaleSheetLayoutView="115" workbookViewId="0">
      <selection activeCell="C10" sqref="C10"/>
    </sheetView>
  </sheetViews>
  <sheetFormatPr defaultRowHeight="16.8" x14ac:dyDescent="0.4"/>
  <cols>
    <col min="1" max="1" width="35.88671875" style="18" bestFit="1" customWidth="1"/>
    <col min="2" max="6" width="11.77734375" style="18" bestFit="1" customWidth="1"/>
    <col min="7" max="7" width="14.44140625" style="18" bestFit="1" customWidth="1"/>
    <col min="8" max="16384" width="8.88671875" style="18"/>
  </cols>
  <sheetData>
    <row r="1" spans="1:11" x14ac:dyDescent="0.4">
      <c r="A1" s="125" t="s">
        <v>365</v>
      </c>
    </row>
    <row r="2" spans="1:11" x14ac:dyDescent="0.4">
      <c r="A2" s="32" t="s">
        <v>164</v>
      </c>
      <c r="B2" s="24">
        <v>2020</v>
      </c>
      <c r="C2" s="24">
        <v>2021</v>
      </c>
      <c r="D2" s="24">
        <v>2022</v>
      </c>
      <c r="E2" s="24">
        <v>2023</v>
      </c>
      <c r="F2" s="24">
        <v>2024</v>
      </c>
      <c r="G2" s="139" t="s">
        <v>165</v>
      </c>
      <c r="K2" s="41"/>
    </row>
    <row r="3" spans="1:11" x14ac:dyDescent="0.4">
      <c r="A3" s="137" t="s">
        <v>7</v>
      </c>
      <c r="B3" s="120">
        <v>10125.815000000001</v>
      </c>
      <c r="C3" s="120">
        <v>13362.012000000001</v>
      </c>
      <c r="D3" s="120">
        <v>19801.621999999999</v>
      </c>
      <c r="E3" s="120">
        <v>25666.255000000001</v>
      </c>
      <c r="F3" s="120">
        <v>29273.792000000001</v>
      </c>
      <c r="G3" s="120">
        <v>32490.261999999999</v>
      </c>
      <c r="K3" s="42"/>
    </row>
    <row r="4" spans="1:11" x14ac:dyDescent="0.4">
      <c r="A4" s="140" t="s">
        <v>56</v>
      </c>
      <c r="B4" s="120">
        <v>837.85900000000004</v>
      </c>
      <c r="C4" s="120">
        <v>1023.9930000000001</v>
      </c>
      <c r="D4" s="120">
        <v>1537.819</v>
      </c>
      <c r="E4" s="120">
        <v>1875.855</v>
      </c>
      <c r="F4" s="120">
        <v>1908.33</v>
      </c>
      <c r="G4" s="120">
        <v>2085.1979999999999</v>
      </c>
    </row>
    <row r="5" spans="1:11" x14ac:dyDescent="0.4">
      <c r="A5" s="142" t="s">
        <v>170</v>
      </c>
      <c r="B5" s="121">
        <v>0.19</v>
      </c>
      <c r="C5" s="121">
        <v>0.19</v>
      </c>
      <c r="D5" s="121">
        <v>0.19</v>
      </c>
      <c r="E5" s="121">
        <v>0.19</v>
      </c>
      <c r="F5" s="121">
        <v>0.19</v>
      </c>
      <c r="G5" s="121">
        <v>0.19</v>
      </c>
    </row>
    <row r="6" spans="1:11" x14ac:dyDescent="0.4">
      <c r="A6" s="138" t="s">
        <v>167</v>
      </c>
      <c r="B6" s="88">
        <f>B4*(1-B5)</f>
        <v>678.66579000000013</v>
      </c>
      <c r="C6" s="88">
        <f t="shared" ref="C6:G6" si="0">C4*(1-C5)</f>
        <v>829.43433000000005</v>
      </c>
      <c r="D6" s="88">
        <f t="shared" si="0"/>
        <v>1245.63339</v>
      </c>
      <c r="E6" s="88">
        <f t="shared" si="0"/>
        <v>1519.4425500000002</v>
      </c>
      <c r="F6" s="88">
        <f t="shared" si="0"/>
        <v>1545.7473</v>
      </c>
      <c r="G6" s="88">
        <f t="shared" si="0"/>
        <v>1689.0103799999999</v>
      </c>
    </row>
    <row r="7" spans="1:11" x14ac:dyDescent="0.4">
      <c r="A7" s="141" t="s">
        <v>304</v>
      </c>
      <c r="B7" s="120">
        <v>198.14599999999999</v>
      </c>
      <c r="C7" s="120">
        <v>247.34299999999999</v>
      </c>
      <c r="D7" s="120">
        <v>300.12900000000002</v>
      </c>
      <c r="E7" s="120">
        <v>356.82799999999997</v>
      </c>
      <c r="F7" s="120">
        <v>409.17899999999997</v>
      </c>
      <c r="G7" s="120">
        <v>479.00900000000001</v>
      </c>
    </row>
    <row r="8" spans="1:11" x14ac:dyDescent="0.4">
      <c r="A8" s="141" t="s">
        <v>122</v>
      </c>
      <c r="B8" s="120">
        <v>1002.025</v>
      </c>
      <c r="C8" s="120">
        <v>1335.604</v>
      </c>
      <c r="D8" s="120">
        <v>1445.905</v>
      </c>
      <c r="E8" s="120">
        <v>1172.8630000000001</v>
      </c>
      <c r="F8" s="120">
        <v>1561.914</v>
      </c>
      <c r="G8" s="120">
        <v>2007.18</v>
      </c>
    </row>
    <row r="9" spans="1:11" x14ac:dyDescent="0.4">
      <c r="A9" s="141" t="s">
        <v>187</v>
      </c>
      <c r="B9" s="120">
        <v>83.37700000000001</v>
      </c>
      <c r="C9" s="120">
        <v>-219.98599999999993</v>
      </c>
      <c r="D9" s="120">
        <v>199.04700000000008</v>
      </c>
      <c r="E9" s="120">
        <v>629.48099999999999</v>
      </c>
      <c r="F9" s="120">
        <v>-646.26300000000015</v>
      </c>
      <c r="G9" s="120">
        <v>-63.578999999999979</v>
      </c>
      <c r="H9" s="43"/>
    </row>
    <row r="10" spans="1:11" x14ac:dyDescent="0.4">
      <c r="A10" s="143" t="s">
        <v>168</v>
      </c>
      <c r="B10" s="122">
        <f>B4/B3</f>
        <v>8.2744845723529414E-2</v>
      </c>
      <c r="C10" s="122">
        <f t="shared" ref="C10:G10" si="1">C4/C3</f>
        <v>7.6634641549491206E-2</v>
      </c>
      <c r="D10" s="122">
        <f t="shared" si="1"/>
        <v>7.7661264314610193E-2</v>
      </c>
      <c r="E10" s="122">
        <f t="shared" si="1"/>
        <v>7.3086431970694588E-2</v>
      </c>
      <c r="F10" s="122">
        <f t="shared" si="1"/>
        <v>6.5189026416529836E-2</v>
      </c>
      <c r="G10" s="122">
        <f t="shared" si="1"/>
        <v>6.4179168515169249E-2</v>
      </c>
    </row>
    <row r="11" spans="1:11" x14ac:dyDescent="0.4">
      <c r="A11" s="142" t="s">
        <v>169</v>
      </c>
      <c r="B11" s="122">
        <f>B8/B3</f>
        <v>9.8957466633549984E-2</v>
      </c>
      <c r="C11" s="122">
        <f t="shared" ref="C11:G11" si="2">C8/C3</f>
        <v>9.9955306132040594E-2</v>
      </c>
      <c r="D11" s="122">
        <f t="shared" si="2"/>
        <v>7.3019523350157878E-2</v>
      </c>
      <c r="E11" s="122">
        <f t="shared" si="2"/>
        <v>4.5696693966455176E-2</v>
      </c>
      <c r="F11" s="122">
        <f t="shared" si="2"/>
        <v>5.3355369881701691E-2</v>
      </c>
      <c r="G11" s="122">
        <f t="shared" si="2"/>
        <v>6.1777895173636951E-2</v>
      </c>
    </row>
    <row r="12" spans="1:11" x14ac:dyDescent="0.4">
      <c r="A12" s="142" t="s">
        <v>171</v>
      </c>
      <c r="B12" s="123"/>
      <c r="C12" s="122">
        <f>C3/B3-1</f>
        <v>0.31959866934167769</v>
      </c>
      <c r="D12" s="122">
        <f t="shared" ref="D12:G12" si="3">D3/C3-1</f>
        <v>0.48193415781994497</v>
      </c>
      <c r="E12" s="122">
        <f t="shared" si="3"/>
        <v>0.29616932390690032</v>
      </c>
      <c r="F12" s="122">
        <f t="shared" si="3"/>
        <v>0.14055564397688713</v>
      </c>
      <c r="G12" s="124">
        <v>0.14899999999999999</v>
      </c>
    </row>
    <row r="13" spans="1:11" x14ac:dyDescent="0.4">
      <c r="A13" s="142" t="s">
        <v>185</v>
      </c>
      <c r="B13" s="122">
        <f>B7/B3</f>
        <v>1.9568400173220622E-2</v>
      </c>
      <c r="C13" s="122">
        <f t="shared" ref="C13:G13" si="4">C7/C3</f>
        <v>1.8510909883930653E-2</v>
      </c>
      <c r="D13" s="122">
        <f t="shared" si="4"/>
        <v>1.5156788671150273E-2</v>
      </c>
      <c r="E13" s="122">
        <f t="shared" si="4"/>
        <v>1.3902612593851341E-2</v>
      </c>
      <c r="F13" s="122">
        <f t="shared" si="4"/>
        <v>1.3977656191585974E-2</v>
      </c>
      <c r="G13" s="122">
        <f t="shared" si="4"/>
        <v>1.4743155964701054E-2</v>
      </c>
    </row>
    <row r="14" spans="1:11" x14ac:dyDescent="0.4">
      <c r="A14" s="142" t="s">
        <v>188</v>
      </c>
      <c r="B14" s="122">
        <f>B9/B3</f>
        <v>8.2341026376642288E-3</v>
      </c>
      <c r="C14" s="122">
        <f t="shared" ref="C14:G14" si="5">C9/C3</f>
        <v>-1.6463538574879286E-2</v>
      </c>
      <c r="D14" s="122">
        <f t="shared" si="5"/>
        <v>1.0052055331628899E-2</v>
      </c>
      <c r="E14" s="122">
        <f t="shared" si="5"/>
        <v>2.4525627131811788E-2</v>
      </c>
      <c r="F14" s="122">
        <f t="shared" si="5"/>
        <v>-2.2076504471986415E-2</v>
      </c>
      <c r="G14" s="122">
        <f t="shared" si="5"/>
        <v>-1.956863259520652E-3</v>
      </c>
    </row>
    <row r="15" spans="1:11" x14ac:dyDescent="0.4">
      <c r="A15" s="138" t="s">
        <v>158</v>
      </c>
      <c r="B15" s="88">
        <f>B6+B7-B8-B9</f>
        <v>-208.5902099999999</v>
      </c>
      <c r="C15" s="88">
        <f>C6+C7-C8-C9</f>
        <v>-38.840669999999989</v>
      </c>
      <c r="D15" s="88">
        <f>D6+D7-D8-D9</f>
        <v>-99.189610000000187</v>
      </c>
      <c r="E15" s="88">
        <f>E6+E7-E8-E9</f>
        <v>73.926550000000134</v>
      </c>
      <c r="F15" s="88">
        <f>F6+F7-F8-F9</f>
        <v>1039.2753000000002</v>
      </c>
      <c r="G15" s="88">
        <f>G6+G7-G8-G9</f>
        <v>224.41837999999964</v>
      </c>
    </row>
  </sheetData>
  <sheetProtection sheet="1" objects="1" scenarios="1"/>
  <pageMargins left="0.7" right="0.7" top="0.75" bottom="0.75" header="0.3" footer="0.3"/>
  <pageSetup paperSize="9" scale="8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FA9C-02A3-444D-9198-B06CA333F6BD}">
  <dimension ref="A1:H20"/>
  <sheetViews>
    <sheetView showGridLines="0" zoomScale="70" zoomScaleNormal="70" workbookViewId="0"/>
  </sheetViews>
  <sheetFormatPr defaultRowHeight="16.8" x14ac:dyDescent="0.4"/>
  <cols>
    <col min="1" max="1" width="32.33203125" style="18" customWidth="1"/>
    <col min="2" max="6" width="7.109375" style="18" bestFit="1" customWidth="1"/>
    <col min="7" max="7" width="59" style="18" customWidth="1"/>
    <col min="8" max="8" width="20.88671875" style="18" customWidth="1"/>
    <col min="9" max="16384" width="8.88671875" style="18"/>
  </cols>
  <sheetData>
    <row r="1" spans="1:8" x14ac:dyDescent="0.4">
      <c r="A1" s="125" t="s">
        <v>365</v>
      </c>
    </row>
    <row r="2" spans="1:8" ht="19.2" x14ac:dyDescent="0.4">
      <c r="A2" s="148" t="s">
        <v>172</v>
      </c>
      <c r="B2" s="149" t="s">
        <v>173</v>
      </c>
      <c r="C2" s="149"/>
      <c r="D2" s="149"/>
      <c r="E2" s="149"/>
      <c r="F2" s="150"/>
      <c r="G2" s="151" t="s">
        <v>174</v>
      </c>
      <c r="H2" s="151" t="s">
        <v>175</v>
      </c>
    </row>
    <row r="3" spans="1:8" ht="19.2" x14ac:dyDescent="0.4">
      <c r="A3" s="148"/>
      <c r="B3" s="152" t="s">
        <v>176</v>
      </c>
      <c r="C3" s="153" t="s">
        <v>177</v>
      </c>
      <c r="D3" s="152" t="s">
        <v>178</v>
      </c>
      <c r="E3" s="153" t="s">
        <v>179</v>
      </c>
      <c r="F3" s="152" t="s">
        <v>180</v>
      </c>
      <c r="G3" s="154"/>
      <c r="H3" s="154"/>
    </row>
    <row r="4" spans="1:8" ht="45" x14ac:dyDescent="0.4">
      <c r="A4" s="144" t="s">
        <v>171</v>
      </c>
      <c r="B4" s="107">
        <v>0.14000000000000001</v>
      </c>
      <c r="C4" s="107">
        <v>0.128</v>
      </c>
      <c r="D4" s="107">
        <v>0.115</v>
      </c>
      <c r="E4" s="107">
        <v>9.9000000000000005E-2</v>
      </c>
      <c r="F4" s="108">
        <v>8.4000000000000005E-2</v>
      </c>
      <c r="G4" s="100" t="s">
        <v>350</v>
      </c>
      <c r="H4" s="100" t="s">
        <v>184</v>
      </c>
    </row>
    <row r="5" spans="1:8" ht="45" x14ac:dyDescent="0.4">
      <c r="A5" s="145" t="s">
        <v>168</v>
      </c>
      <c r="B5" s="107">
        <v>6.5000000000000002E-2</v>
      </c>
      <c r="C5" s="109">
        <v>6.4000000000000001E-2</v>
      </c>
      <c r="D5" s="108">
        <v>6.2E-2</v>
      </c>
      <c r="E5" s="107">
        <v>6.0999999999999999E-2</v>
      </c>
      <c r="F5" s="107">
        <v>6.0999999999999999E-2</v>
      </c>
      <c r="G5" s="100" t="s">
        <v>351</v>
      </c>
      <c r="H5" s="100" t="s">
        <v>183</v>
      </c>
    </row>
    <row r="6" spans="1:8" ht="46.8" customHeight="1" x14ac:dyDescent="0.4">
      <c r="A6" s="144" t="s">
        <v>181</v>
      </c>
      <c r="B6" s="107">
        <v>0.19</v>
      </c>
      <c r="C6" s="107">
        <v>0.19</v>
      </c>
      <c r="D6" s="107">
        <v>0.19</v>
      </c>
      <c r="E6" s="107">
        <v>0.19</v>
      </c>
      <c r="F6" s="107">
        <v>0.19</v>
      </c>
      <c r="G6" s="100" t="s">
        <v>352</v>
      </c>
      <c r="H6" s="101" t="s">
        <v>183</v>
      </c>
    </row>
    <row r="7" spans="1:8" ht="45" x14ac:dyDescent="0.4">
      <c r="A7" s="144" t="s">
        <v>182</v>
      </c>
      <c r="B7" s="107">
        <v>6.4000000000000001E-2</v>
      </c>
      <c r="C7" s="110">
        <v>0.06</v>
      </c>
      <c r="D7" s="107">
        <v>5.7000000000000002E-2</v>
      </c>
      <c r="E7" s="107">
        <v>5.3999999999999999E-2</v>
      </c>
      <c r="F7" s="111">
        <v>0.05</v>
      </c>
      <c r="G7" s="100" t="s">
        <v>353</v>
      </c>
      <c r="H7" s="100" t="s">
        <v>189</v>
      </c>
    </row>
    <row r="8" spans="1:8" ht="38.4" x14ac:dyDescent="0.4">
      <c r="A8" s="144" t="s">
        <v>185</v>
      </c>
      <c r="B8" s="107">
        <v>1.4999999999999999E-2</v>
      </c>
      <c r="C8" s="107">
        <v>1.4999999999999999E-2</v>
      </c>
      <c r="D8" s="112">
        <v>1.4999999999999999E-2</v>
      </c>
      <c r="E8" s="113">
        <v>1.4999999999999999E-2</v>
      </c>
      <c r="F8" s="107">
        <v>1.4999999999999999E-2</v>
      </c>
      <c r="G8" s="100" t="s">
        <v>354</v>
      </c>
      <c r="H8" s="100" t="s">
        <v>186</v>
      </c>
    </row>
    <row r="9" spans="1:8" ht="38.4" x14ac:dyDescent="0.4">
      <c r="A9" s="144" t="s">
        <v>188</v>
      </c>
      <c r="B9" s="107">
        <v>0</v>
      </c>
      <c r="C9" s="110">
        <v>0</v>
      </c>
      <c r="D9" s="107">
        <v>0</v>
      </c>
      <c r="E9" s="107">
        <v>0</v>
      </c>
      <c r="F9" s="107">
        <v>0</v>
      </c>
      <c r="G9" s="100" t="s">
        <v>355</v>
      </c>
      <c r="H9" s="102" t="s">
        <v>183</v>
      </c>
    </row>
    <row r="10" spans="1:8" ht="60" x14ac:dyDescent="0.4">
      <c r="A10" s="146" t="s">
        <v>192</v>
      </c>
      <c r="B10" s="107">
        <v>4.4999999999999998E-2</v>
      </c>
      <c r="C10" s="108">
        <v>4.2999999999999997E-2</v>
      </c>
      <c r="D10" s="107">
        <v>0.04</v>
      </c>
      <c r="E10" s="111">
        <v>0.04</v>
      </c>
      <c r="F10" s="114">
        <v>0.04</v>
      </c>
      <c r="G10" s="103" t="s">
        <v>358</v>
      </c>
      <c r="H10" s="100" t="s">
        <v>193</v>
      </c>
    </row>
    <row r="11" spans="1:8" ht="45" x14ac:dyDescent="0.4">
      <c r="A11" s="144" t="s">
        <v>190</v>
      </c>
      <c r="B11" s="115">
        <v>0.74</v>
      </c>
      <c r="C11" s="116">
        <v>0.74</v>
      </c>
      <c r="D11" s="115">
        <v>0.74</v>
      </c>
      <c r="E11" s="115">
        <v>0.74</v>
      </c>
      <c r="F11" s="115">
        <v>0.74</v>
      </c>
      <c r="G11" s="100" t="s">
        <v>359</v>
      </c>
      <c r="H11" s="100" t="s">
        <v>194</v>
      </c>
    </row>
    <row r="12" spans="1:8" ht="45" x14ac:dyDescent="0.4">
      <c r="A12" s="144" t="s">
        <v>191</v>
      </c>
      <c r="B12" s="107">
        <v>0.06</v>
      </c>
      <c r="C12" s="109">
        <v>0.06</v>
      </c>
      <c r="D12" s="107">
        <v>0.06</v>
      </c>
      <c r="E12" s="107">
        <v>0.06</v>
      </c>
      <c r="F12" s="107">
        <v>0.06</v>
      </c>
      <c r="G12" s="100" t="s">
        <v>360</v>
      </c>
      <c r="H12" s="104" t="s">
        <v>356</v>
      </c>
    </row>
    <row r="13" spans="1:8" ht="45" x14ac:dyDescent="0.4">
      <c r="A13" s="144" t="s">
        <v>292</v>
      </c>
      <c r="B13" s="117">
        <v>6.5000000000000002E-2</v>
      </c>
      <c r="C13" s="107">
        <v>6.3E-2</v>
      </c>
      <c r="D13" s="118">
        <v>0.06</v>
      </c>
      <c r="E13" s="118">
        <v>0.06</v>
      </c>
      <c r="F13" s="113">
        <v>0.06</v>
      </c>
      <c r="G13" s="105" t="s">
        <v>294</v>
      </c>
      <c r="H13" s="100" t="s">
        <v>357</v>
      </c>
    </row>
    <row r="14" spans="1:8" ht="38.4" x14ac:dyDescent="0.4">
      <c r="A14" s="144" t="s">
        <v>293</v>
      </c>
      <c r="B14" s="170">
        <f>(1-0.19)*B13</f>
        <v>5.2650000000000002E-2</v>
      </c>
      <c r="C14" s="171">
        <f t="shared" ref="C14:F14" si="0">(1-0.19)*C13</f>
        <v>5.1030000000000006E-2</v>
      </c>
      <c r="D14" s="171">
        <f t="shared" si="0"/>
        <v>4.8600000000000004E-2</v>
      </c>
      <c r="E14" s="171">
        <f t="shared" si="0"/>
        <v>4.8600000000000004E-2</v>
      </c>
      <c r="F14" s="172">
        <f t="shared" si="0"/>
        <v>4.8600000000000004E-2</v>
      </c>
      <c r="G14" s="135"/>
      <c r="H14" s="100"/>
    </row>
    <row r="15" spans="1:8" ht="42.6" customHeight="1" x14ac:dyDescent="0.4">
      <c r="A15" s="147" t="s">
        <v>196</v>
      </c>
      <c r="B15" s="119">
        <v>2.5000000000000001E-2</v>
      </c>
      <c r="C15" s="165"/>
      <c r="D15" s="166"/>
      <c r="E15" s="166"/>
      <c r="F15" s="167"/>
      <c r="G15" s="100" t="s">
        <v>195</v>
      </c>
      <c r="H15" s="101" t="s">
        <v>357</v>
      </c>
    </row>
    <row r="16" spans="1:8" ht="45" x14ac:dyDescent="0.4">
      <c r="A16" s="147" t="s">
        <v>317</v>
      </c>
      <c r="B16" s="136">
        <v>1.7000000000000001E-2</v>
      </c>
      <c r="C16" s="168"/>
      <c r="D16" s="169"/>
      <c r="E16" s="169"/>
      <c r="F16" s="169"/>
      <c r="G16" s="106" t="s">
        <v>361</v>
      </c>
      <c r="H16" s="106" t="s">
        <v>357</v>
      </c>
    </row>
    <row r="17" spans="1:8" x14ac:dyDescent="0.4">
      <c r="A17" s="44"/>
      <c r="B17" s="45"/>
      <c r="C17" s="45"/>
      <c r="D17" s="45"/>
      <c r="E17" s="45"/>
      <c r="F17" s="45"/>
      <c r="G17" s="46"/>
      <c r="H17" s="46"/>
    </row>
    <row r="18" spans="1:8" x14ac:dyDescent="0.4">
      <c r="A18" s="47"/>
      <c r="B18" s="48"/>
      <c r="C18" s="48"/>
      <c r="D18" s="48"/>
      <c r="E18" s="48"/>
      <c r="F18" s="48"/>
    </row>
    <row r="19" spans="1:8" x14ac:dyDescent="0.4">
      <c r="A19" s="47"/>
      <c r="B19" s="48"/>
      <c r="C19" s="48"/>
      <c r="D19" s="48"/>
      <c r="E19" s="48"/>
      <c r="F19" s="48"/>
    </row>
    <row r="20" spans="1:8" x14ac:dyDescent="0.4">
      <c r="A20" s="47"/>
      <c r="B20" s="48"/>
      <c r="C20" s="48"/>
      <c r="D20" s="48"/>
      <c r="E20" s="48"/>
      <c r="F20" s="48"/>
    </row>
  </sheetData>
  <sheetProtection sheet="1" objects="1" scenarios="1"/>
  <mergeCells count="4">
    <mergeCell ref="A2:A3"/>
    <mergeCell ref="G2:G3"/>
    <mergeCell ref="H2:H3"/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EA53-C46C-4A64-93B9-2758C267150C}">
  <dimension ref="A1:H20"/>
  <sheetViews>
    <sheetView showGridLines="0" workbookViewId="0">
      <selection activeCell="C6" sqref="C6"/>
    </sheetView>
  </sheetViews>
  <sheetFormatPr defaultRowHeight="16.8" x14ac:dyDescent="0.4"/>
  <cols>
    <col min="1" max="1" width="31.21875" style="18" customWidth="1"/>
    <col min="2" max="2" width="13.6640625" style="18" bestFit="1" customWidth="1"/>
    <col min="3" max="7" width="11.77734375" style="18" bestFit="1" customWidth="1"/>
    <col min="8" max="16384" width="8.88671875" style="18"/>
  </cols>
  <sheetData>
    <row r="1" spans="1:7" x14ac:dyDescent="0.4">
      <c r="A1" s="125" t="s">
        <v>365</v>
      </c>
      <c r="B1" s="22"/>
    </row>
    <row r="2" spans="1:7" x14ac:dyDescent="0.4">
      <c r="A2" s="49" t="s">
        <v>303</v>
      </c>
      <c r="B2" s="162">
        <f>Historicals!F3</f>
        <v>29273.792000000001</v>
      </c>
    </row>
    <row r="3" spans="1:7" x14ac:dyDescent="0.4">
      <c r="A3" s="50"/>
    </row>
    <row r="4" spans="1:7" ht="19.2" customHeight="1" x14ac:dyDescent="0.4">
      <c r="A4" s="51" t="s">
        <v>172</v>
      </c>
      <c r="B4" s="128" t="s">
        <v>165</v>
      </c>
      <c r="C4" s="128" t="s">
        <v>176</v>
      </c>
      <c r="D4" s="128" t="s">
        <v>177</v>
      </c>
      <c r="E4" s="128" t="s">
        <v>178</v>
      </c>
      <c r="F4" s="128" t="s">
        <v>301</v>
      </c>
      <c r="G4" s="128" t="s">
        <v>180</v>
      </c>
    </row>
    <row r="5" spans="1:7" ht="19.2" customHeight="1" x14ac:dyDescent="0.4">
      <c r="A5" s="131" t="s">
        <v>171</v>
      </c>
      <c r="B5" s="65">
        <f>Historicals!G12</f>
        <v>0.14899999999999999</v>
      </c>
      <c r="C5" s="65">
        <f>Assumptions!B4</f>
        <v>0.14000000000000001</v>
      </c>
      <c r="D5" s="65">
        <f>Assumptions!C4</f>
        <v>0.128</v>
      </c>
      <c r="E5" s="65">
        <f>Assumptions!D4</f>
        <v>0.115</v>
      </c>
      <c r="F5" s="65">
        <f>Assumptions!E4</f>
        <v>9.9000000000000005E-2</v>
      </c>
      <c r="G5" s="65">
        <f>Assumptions!F4</f>
        <v>8.4000000000000005E-2</v>
      </c>
    </row>
    <row r="6" spans="1:7" ht="18.600000000000001" customHeight="1" x14ac:dyDescent="0.4">
      <c r="A6" s="127" t="s">
        <v>7</v>
      </c>
      <c r="B6" s="95">
        <f>Historicals!G3</f>
        <v>32490.261999999999</v>
      </c>
      <c r="C6" s="66">
        <f>B2*(1+C5)</f>
        <v>33372.122880000003</v>
      </c>
      <c r="D6" s="66">
        <f>C6*(1+D5)</f>
        <v>37643.754608640003</v>
      </c>
      <c r="E6" s="66">
        <f t="shared" ref="E6:G6" si="0">D6*(1+E5)</f>
        <v>41972.786388633605</v>
      </c>
      <c r="F6" s="66">
        <f t="shared" si="0"/>
        <v>46128.09224110833</v>
      </c>
      <c r="G6" s="66">
        <f t="shared" si="0"/>
        <v>50002.851989361436</v>
      </c>
    </row>
    <row r="7" spans="1:7" ht="16.8" customHeight="1" x14ac:dyDescent="0.4">
      <c r="A7" s="132" t="s">
        <v>168</v>
      </c>
      <c r="B7" s="65">
        <f>Historicals!G10</f>
        <v>6.4179168515169249E-2</v>
      </c>
      <c r="C7" s="65">
        <f>Assumptions!B5</f>
        <v>6.5000000000000002E-2</v>
      </c>
      <c r="D7" s="65">
        <f>Assumptions!C5</f>
        <v>6.4000000000000001E-2</v>
      </c>
      <c r="E7" s="65">
        <f>Assumptions!D5</f>
        <v>6.2E-2</v>
      </c>
      <c r="F7" s="65">
        <f>Assumptions!E5</f>
        <v>6.0999999999999999E-2</v>
      </c>
      <c r="G7" s="65">
        <f>Assumptions!F5</f>
        <v>6.0999999999999999E-2</v>
      </c>
    </row>
    <row r="8" spans="1:7" x14ac:dyDescent="0.4">
      <c r="A8" s="130" t="s">
        <v>56</v>
      </c>
      <c r="B8" s="95">
        <f>Historicals!G4</f>
        <v>2085.1979999999999</v>
      </c>
      <c r="C8" s="66">
        <f>C6*C7</f>
        <v>2169.1879872000004</v>
      </c>
      <c r="D8" s="66">
        <f t="shared" ref="D8:G8" si="1">D6*D7</f>
        <v>2409.2002949529601</v>
      </c>
      <c r="E8" s="66">
        <f t="shared" si="1"/>
        <v>2602.3127560952835</v>
      </c>
      <c r="F8" s="66">
        <f t="shared" si="1"/>
        <v>2813.8136267076079</v>
      </c>
      <c r="G8" s="66">
        <f t="shared" si="1"/>
        <v>3050.1739713510474</v>
      </c>
    </row>
    <row r="9" spans="1:7" ht="33.6" x14ac:dyDescent="0.4">
      <c r="A9" s="132" t="s">
        <v>181</v>
      </c>
      <c r="B9" s="96">
        <f>Historicals!G5</f>
        <v>0.19</v>
      </c>
      <c r="C9" s="97">
        <f>Assumptions!B6</f>
        <v>0.19</v>
      </c>
      <c r="D9" s="97">
        <f>Assumptions!C6</f>
        <v>0.19</v>
      </c>
      <c r="E9" s="97">
        <f>Assumptions!D6</f>
        <v>0.19</v>
      </c>
      <c r="F9" s="97">
        <f>Assumptions!E6</f>
        <v>0.19</v>
      </c>
      <c r="G9" s="97">
        <f>Assumptions!F6</f>
        <v>0.19</v>
      </c>
    </row>
    <row r="10" spans="1:7" ht="19.2" customHeight="1" x14ac:dyDescent="0.4">
      <c r="A10" s="129" t="s">
        <v>166</v>
      </c>
      <c r="B10" s="95">
        <f>B9*B8</f>
        <v>396.18761999999998</v>
      </c>
      <c r="C10" s="66">
        <f>C9*C8</f>
        <v>412.14571756800007</v>
      </c>
      <c r="D10" s="66">
        <f t="shared" ref="D10:G10" si="2">D9*D8</f>
        <v>457.74805604106245</v>
      </c>
      <c r="E10" s="66">
        <f t="shared" si="2"/>
        <v>494.43942365810386</v>
      </c>
      <c r="F10" s="66">
        <f t="shared" si="2"/>
        <v>534.62458907444545</v>
      </c>
      <c r="G10" s="66">
        <f t="shared" si="2"/>
        <v>579.53305455669897</v>
      </c>
    </row>
    <row r="11" spans="1:7" ht="19.2" customHeight="1" x14ac:dyDescent="0.4">
      <c r="A11" s="127" t="s">
        <v>167</v>
      </c>
      <c r="B11" s="95">
        <f>Historicals!G6</f>
        <v>1689.0103799999999</v>
      </c>
      <c r="C11" s="66">
        <f>C8-C10</f>
        <v>1757.0422696320004</v>
      </c>
      <c r="D11" s="66">
        <f t="shared" ref="D11:G11" si="3">D8-D10</f>
        <v>1951.4522389118977</v>
      </c>
      <c r="E11" s="66">
        <f t="shared" si="3"/>
        <v>2107.8733324371797</v>
      </c>
      <c r="F11" s="66">
        <f t="shared" si="3"/>
        <v>2279.1890376331626</v>
      </c>
      <c r="G11" s="66">
        <f t="shared" si="3"/>
        <v>2470.6409167943484</v>
      </c>
    </row>
    <row r="12" spans="1:7" ht="33.6" x14ac:dyDescent="0.4">
      <c r="A12" s="132" t="s">
        <v>185</v>
      </c>
      <c r="B12" s="65">
        <f>Historicals!G13</f>
        <v>1.4743155964701054E-2</v>
      </c>
      <c r="C12" s="64">
        <f>Assumptions!B8</f>
        <v>1.4999999999999999E-2</v>
      </c>
      <c r="D12" s="64">
        <f>Assumptions!C8</f>
        <v>1.4999999999999999E-2</v>
      </c>
      <c r="E12" s="64">
        <f>Assumptions!D8</f>
        <v>1.4999999999999999E-2</v>
      </c>
      <c r="F12" s="64">
        <f>Assumptions!E8</f>
        <v>1.4999999999999999E-2</v>
      </c>
      <c r="G12" s="64">
        <f>Assumptions!F8</f>
        <v>1.4999999999999999E-2</v>
      </c>
    </row>
    <row r="13" spans="1:7" ht="16.2" customHeight="1" x14ac:dyDescent="0.4">
      <c r="A13" s="129" t="s">
        <v>304</v>
      </c>
      <c r="B13" s="95">
        <f>Historicals!G7</f>
        <v>479.00900000000001</v>
      </c>
      <c r="C13" s="66">
        <f>C12*C6</f>
        <v>500.58184320000004</v>
      </c>
      <c r="D13" s="66">
        <f t="shared" ref="D13:G13" si="4">D12*D6</f>
        <v>564.65631912959998</v>
      </c>
      <c r="E13" s="66">
        <f t="shared" si="4"/>
        <v>629.59179582950401</v>
      </c>
      <c r="F13" s="66">
        <f t="shared" si="4"/>
        <v>691.92138361662489</v>
      </c>
      <c r="G13" s="66">
        <f t="shared" si="4"/>
        <v>750.04277984042153</v>
      </c>
    </row>
    <row r="14" spans="1:7" ht="33.6" x14ac:dyDescent="0.4">
      <c r="A14" s="132" t="s">
        <v>169</v>
      </c>
      <c r="B14" s="65">
        <f>Historicals!G11</f>
        <v>6.1777895173636951E-2</v>
      </c>
      <c r="C14" s="64">
        <f>Assumptions!B7</f>
        <v>6.4000000000000001E-2</v>
      </c>
      <c r="D14" s="64">
        <f>Assumptions!C7</f>
        <v>0.06</v>
      </c>
      <c r="E14" s="64">
        <f>Assumptions!D7</f>
        <v>5.7000000000000002E-2</v>
      </c>
      <c r="F14" s="64">
        <f>Assumptions!E7</f>
        <v>5.3999999999999999E-2</v>
      </c>
      <c r="G14" s="64">
        <f>Assumptions!F7</f>
        <v>0.05</v>
      </c>
    </row>
    <row r="15" spans="1:7" ht="19.2" customHeight="1" x14ac:dyDescent="0.4">
      <c r="A15" s="129" t="s">
        <v>305</v>
      </c>
      <c r="B15" s="95">
        <f>Historicals!G8</f>
        <v>2007.18</v>
      </c>
      <c r="C15" s="66">
        <f>C14*C6</f>
        <v>2135.8158643200004</v>
      </c>
      <c r="D15" s="66">
        <f t="shared" ref="D15:G15" si="5">D14*D6</f>
        <v>2258.6252765183999</v>
      </c>
      <c r="E15" s="66">
        <f t="shared" si="5"/>
        <v>2392.4488241521158</v>
      </c>
      <c r="F15" s="66">
        <f t="shared" si="5"/>
        <v>2490.91698101985</v>
      </c>
      <c r="G15" s="66">
        <f t="shared" si="5"/>
        <v>2500.1425994680721</v>
      </c>
    </row>
    <row r="16" spans="1:7" ht="33.6" x14ac:dyDescent="0.4">
      <c r="A16" s="132" t="s">
        <v>188</v>
      </c>
      <c r="B16" s="98">
        <f>Historicals!G14</f>
        <v>-1.956863259520652E-3</v>
      </c>
      <c r="C16" s="64">
        <f>Assumptions!B9</f>
        <v>0</v>
      </c>
      <c r="D16" s="64">
        <f>Assumptions!C9</f>
        <v>0</v>
      </c>
      <c r="E16" s="64">
        <f>Assumptions!D9</f>
        <v>0</v>
      </c>
      <c r="F16" s="64">
        <f>Assumptions!E9</f>
        <v>0</v>
      </c>
      <c r="G16" s="64">
        <f>Assumptions!F9</f>
        <v>0</v>
      </c>
    </row>
    <row r="17" spans="1:8" ht="16.8" customHeight="1" x14ac:dyDescent="0.4">
      <c r="A17" s="129" t="s">
        <v>306</v>
      </c>
      <c r="B17" s="95">
        <f>Historicals!G9</f>
        <v>-63.578999999999979</v>
      </c>
      <c r="C17" s="66">
        <f>C16*C6</f>
        <v>0</v>
      </c>
      <c r="D17" s="66">
        <f t="shared" ref="D17:G17" si="6">D16*D6</f>
        <v>0</v>
      </c>
      <c r="E17" s="66">
        <f t="shared" si="6"/>
        <v>0</v>
      </c>
      <c r="F17" s="66">
        <f t="shared" si="6"/>
        <v>0</v>
      </c>
      <c r="G17" s="66">
        <f t="shared" si="6"/>
        <v>0</v>
      </c>
    </row>
    <row r="18" spans="1:8" ht="19.2" customHeight="1" x14ac:dyDescent="0.4">
      <c r="A18" s="127" t="s">
        <v>158</v>
      </c>
      <c r="B18" s="99">
        <f>B11+B13-B15-B17</f>
        <v>224.41837999999964</v>
      </c>
      <c r="C18" s="99">
        <f>C11+C13-C15-C17</f>
        <v>121.80824851199986</v>
      </c>
      <c r="D18" s="99">
        <f t="shared" ref="D18:G18" si="7">D11+D13-D15-D17</f>
        <v>257.4832815230975</v>
      </c>
      <c r="E18" s="99">
        <f t="shared" si="7"/>
        <v>345.0163041145679</v>
      </c>
      <c r="F18" s="99">
        <f t="shared" si="7"/>
        <v>480.19344022993755</v>
      </c>
      <c r="G18" s="99">
        <f t="shared" si="7"/>
        <v>720.54109716669791</v>
      </c>
      <c r="H18" s="19"/>
    </row>
    <row r="19" spans="1:8" x14ac:dyDescent="0.4">
      <c r="A19" s="52"/>
      <c r="C19" s="53"/>
      <c r="D19" s="53"/>
      <c r="E19" s="53"/>
      <c r="F19" s="53"/>
      <c r="G19" s="53"/>
      <c r="H19" s="20"/>
    </row>
    <row r="20" spans="1:8" x14ac:dyDescent="0.4">
      <c r="A20" s="52"/>
      <c r="C20" s="19"/>
      <c r="D20" s="19"/>
      <c r="E20" s="19"/>
      <c r="F20" s="19"/>
      <c r="G20" s="19"/>
    </row>
  </sheetData>
  <sheetProtection sheet="1" objects="1" scenarios="1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CACF-1C7A-4525-BACA-12E823C3DC70}">
  <dimension ref="A1:I51"/>
  <sheetViews>
    <sheetView showGridLines="0" zoomScale="85" zoomScaleNormal="85" workbookViewId="0">
      <selection activeCell="D33" sqref="D33"/>
    </sheetView>
  </sheetViews>
  <sheetFormatPr defaultRowHeight="16.8" x14ac:dyDescent="0.4"/>
  <cols>
    <col min="1" max="1" width="32" style="18" customWidth="1"/>
    <col min="2" max="2" width="18.77734375" style="18" bestFit="1" customWidth="1"/>
    <col min="3" max="5" width="11.33203125" style="18" bestFit="1" customWidth="1"/>
    <col min="6" max="6" width="18.109375" style="18" bestFit="1" customWidth="1"/>
    <col min="7" max="7" width="9" style="18" customWidth="1"/>
    <col min="8" max="8" width="9" style="18" bestFit="1" customWidth="1"/>
    <col min="9" max="16384" width="8.88671875" style="18"/>
  </cols>
  <sheetData>
    <row r="1" spans="1:9" x14ac:dyDescent="0.4">
      <c r="A1" s="125" t="s">
        <v>365</v>
      </c>
    </row>
    <row r="2" spans="1:9" ht="14.4" customHeight="1" x14ac:dyDescent="0.4">
      <c r="A2" s="156" t="s">
        <v>324</v>
      </c>
      <c r="B2" s="160">
        <v>39.630000000000003</v>
      </c>
      <c r="C2" s="126" t="s">
        <v>349</v>
      </c>
      <c r="D2" s="126"/>
      <c r="E2" s="126"/>
      <c r="F2" s="126"/>
    </row>
    <row r="3" spans="1:9" x14ac:dyDescent="0.4">
      <c r="A3" s="134" t="s">
        <v>296</v>
      </c>
      <c r="B3" s="69">
        <v>38588.544000000002</v>
      </c>
      <c r="C3" s="126"/>
      <c r="D3" s="126"/>
      <c r="E3" s="126"/>
      <c r="F3" s="126"/>
      <c r="G3" s="28"/>
      <c r="H3" s="28"/>
      <c r="I3" s="28"/>
    </row>
    <row r="4" spans="1:9" x14ac:dyDescent="0.4">
      <c r="A4" s="134" t="s">
        <v>298</v>
      </c>
      <c r="B4" s="69">
        <v>857.47400000000005</v>
      </c>
      <c r="C4" s="126"/>
      <c r="D4" s="126"/>
      <c r="E4" s="126"/>
      <c r="F4" s="126"/>
      <c r="G4" s="28"/>
      <c r="H4" s="28"/>
      <c r="I4" s="28"/>
    </row>
    <row r="5" spans="1:9" x14ac:dyDescent="0.4">
      <c r="A5" s="134" t="s">
        <v>323</v>
      </c>
      <c r="B5" s="68">
        <f>SUM(B3:B4)</f>
        <v>39446.018000000004</v>
      </c>
      <c r="C5" s="126"/>
      <c r="D5" s="126"/>
      <c r="E5" s="126"/>
      <c r="F5" s="126"/>
      <c r="G5" s="28"/>
      <c r="H5" s="28"/>
      <c r="I5" s="28"/>
    </row>
    <row r="6" spans="1:9" x14ac:dyDescent="0.4">
      <c r="A6" s="134" t="s">
        <v>299</v>
      </c>
      <c r="B6" s="70">
        <f>B4/B5</f>
        <v>2.1737910275252625E-2</v>
      </c>
      <c r="C6" s="126"/>
      <c r="D6" s="126"/>
      <c r="E6" s="126"/>
      <c r="F6" s="126"/>
      <c r="G6" s="28"/>
      <c r="H6" s="28"/>
      <c r="I6" s="28"/>
    </row>
    <row r="7" spans="1:9" x14ac:dyDescent="0.4">
      <c r="A7" s="134" t="s">
        <v>302</v>
      </c>
      <c r="B7" s="71">
        <f>B3/B5</f>
        <v>0.97826208972474737</v>
      </c>
      <c r="C7" s="126"/>
      <c r="D7" s="126"/>
      <c r="E7" s="126"/>
      <c r="F7" s="126"/>
      <c r="G7" s="28"/>
      <c r="H7" s="28"/>
      <c r="I7" s="28"/>
    </row>
    <row r="8" spans="1:9" x14ac:dyDescent="0.4">
      <c r="A8" s="155"/>
    </row>
    <row r="9" spans="1:9" x14ac:dyDescent="0.4">
      <c r="A9" s="134"/>
      <c r="B9" s="24" t="s">
        <v>176</v>
      </c>
      <c r="C9" s="24" t="s">
        <v>177</v>
      </c>
      <c r="D9" s="24" t="s">
        <v>178</v>
      </c>
      <c r="E9" s="24" t="s">
        <v>301</v>
      </c>
      <c r="F9" s="24" t="s">
        <v>180</v>
      </c>
    </row>
    <row r="10" spans="1:9" x14ac:dyDescent="0.4">
      <c r="A10" s="133" t="s">
        <v>192</v>
      </c>
      <c r="B10" s="72">
        <f>Assumptions!B10</f>
        <v>4.4999999999999998E-2</v>
      </c>
      <c r="C10" s="72">
        <f>Assumptions!C10</f>
        <v>4.2999999999999997E-2</v>
      </c>
      <c r="D10" s="72">
        <f>Assumptions!D10</f>
        <v>0.04</v>
      </c>
      <c r="E10" s="72">
        <f>Assumptions!E10</f>
        <v>0.04</v>
      </c>
      <c r="F10" s="72">
        <f>Assumptions!F10</f>
        <v>0.04</v>
      </c>
    </row>
    <row r="11" spans="1:9" x14ac:dyDescent="0.4">
      <c r="A11" s="133" t="s">
        <v>190</v>
      </c>
      <c r="B11" s="73">
        <f>Assumptions!B11</f>
        <v>0.74</v>
      </c>
      <c r="C11" s="73">
        <f>Assumptions!C11</f>
        <v>0.74</v>
      </c>
      <c r="D11" s="73">
        <f>Assumptions!D11</f>
        <v>0.74</v>
      </c>
      <c r="E11" s="73">
        <f>Assumptions!E11</f>
        <v>0.74</v>
      </c>
      <c r="F11" s="73">
        <f>Assumptions!F11</f>
        <v>0.74</v>
      </c>
    </row>
    <row r="12" spans="1:9" x14ac:dyDescent="0.4">
      <c r="A12" s="133" t="s">
        <v>191</v>
      </c>
      <c r="B12" s="72">
        <f>Assumptions!B12</f>
        <v>0.06</v>
      </c>
      <c r="C12" s="72">
        <f>Assumptions!C12</f>
        <v>0.06</v>
      </c>
      <c r="D12" s="72">
        <f>Assumptions!D12</f>
        <v>0.06</v>
      </c>
      <c r="E12" s="72">
        <f>Assumptions!E12</f>
        <v>0.06</v>
      </c>
      <c r="F12" s="72">
        <f>Assumptions!F12</f>
        <v>0.06</v>
      </c>
      <c r="G12" s="161" t="s">
        <v>362</v>
      </c>
      <c r="H12" s="161"/>
    </row>
    <row r="13" spans="1:9" x14ac:dyDescent="0.4">
      <c r="A13" s="133" t="s">
        <v>300</v>
      </c>
      <c r="B13" s="74">
        <f>B10+B11*B12</f>
        <v>8.9399999999999993E-2</v>
      </c>
      <c r="C13" s="74">
        <f t="shared" ref="C13:F13" si="0">C10+C11*C12</f>
        <v>8.7399999999999992E-2</v>
      </c>
      <c r="D13" s="74">
        <f t="shared" si="0"/>
        <v>8.4400000000000003E-2</v>
      </c>
      <c r="E13" s="74">
        <f t="shared" si="0"/>
        <v>8.4400000000000003E-2</v>
      </c>
      <c r="F13" s="74">
        <f t="shared" si="0"/>
        <v>8.4400000000000003E-2</v>
      </c>
      <c r="G13" s="161"/>
      <c r="H13" s="161"/>
    </row>
    <row r="14" spans="1:9" x14ac:dyDescent="0.4">
      <c r="A14" s="134" t="s">
        <v>293</v>
      </c>
      <c r="B14" s="75">
        <f>Assumptions!B14</f>
        <v>5.2650000000000002E-2</v>
      </c>
      <c r="C14" s="75">
        <f>Assumptions!C14</f>
        <v>5.1030000000000006E-2</v>
      </c>
      <c r="D14" s="75">
        <f>Assumptions!D14</f>
        <v>4.8600000000000004E-2</v>
      </c>
      <c r="E14" s="75">
        <f>Assumptions!E14</f>
        <v>4.8600000000000004E-2</v>
      </c>
      <c r="F14" s="75">
        <f>Assumptions!F14</f>
        <v>4.8600000000000004E-2</v>
      </c>
      <c r="G14" s="161"/>
      <c r="H14" s="161"/>
    </row>
    <row r="15" spans="1:9" x14ac:dyDescent="0.4">
      <c r="A15" s="133" t="s">
        <v>295</v>
      </c>
      <c r="B15" s="76">
        <f>B13*$B$7+$B$6*B14</f>
        <v>8.8601131797384464E-2</v>
      </c>
      <c r="C15" s="76">
        <f>C13*$B$7+$B$6*C14</f>
        <v>8.6609392203289046E-2</v>
      </c>
      <c r="D15" s="76">
        <f>D13*$B$7+$B$6*D14</f>
        <v>8.3621782812145953E-2</v>
      </c>
      <c r="E15" s="76">
        <f>E13*$B$7+$B$6*E14</f>
        <v>8.3621782812145953E-2</v>
      </c>
      <c r="F15" s="76">
        <f>F13*$B$7+$B$6*F14</f>
        <v>8.3621782812145953E-2</v>
      </c>
    </row>
    <row r="16" spans="1:9" x14ac:dyDescent="0.4">
      <c r="A16" s="134"/>
      <c r="B16" s="77"/>
      <c r="C16" s="77"/>
      <c r="D16" s="77"/>
      <c r="E16" s="77"/>
      <c r="F16" s="77"/>
    </row>
    <row r="17" spans="1:7" x14ac:dyDescent="0.4">
      <c r="A17" s="156" t="s">
        <v>158</v>
      </c>
      <c r="B17" s="78">
        <f>Forecast!C18</f>
        <v>121.80824851199986</v>
      </c>
      <c r="C17" s="78">
        <f>Forecast!D18</f>
        <v>257.4832815230975</v>
      </c>
      <c r="D17" s="78">
        <f>Forecast!E18</f>
        <v>345.0163041145679</v>
      </c>
      <c r="E17" s="78">
        <f>Forecast!F18</f>
        <v>480.19344022993755</v>
      </c>
      <c r="F17" s="78">
        <f>Forecast!G18</f>
        <v>720.54109716669791</v>
      </c>
    </row>
    <row r="18" spans="1:7" x14ac:dyDescent="0.4">
      <c r="A18" s="134" t="s">
        <v>307</v>
      </c>
      <c r="B18" s="78" cm="1">
        <f t="array" ref="B18">B17/PRODUCT(1+$B$15:B15)</f>
        <v>111.89428795731895</v>
      </c>
      <c r="C18" s="78" cm="1">
        <f t="array" ref="C18">C17/PRODUCT(1+$B$15:C15)</f>
        <v>217.67412096445941</v>
      </c>
      <c r="D18" s="78" cm="1">
        <f t="array" ref="D18">D17/PRODUCT(1+$B$15:D15)</f>
        <v>269.16566241855509</v>
      </c>
      <c r="E18" s="78" cm="1">
        <f t="array" ref="E18">E17/PRODUCT(1+$B$15:E15)</f>
        <v>345.71524716922636</v>
      </c>
      <c r="F18" s="78" cm="1">
        <f t="array" ref="F18">F17/PRODUCT(1+$B$15:F15)</f>
        <v>478.72194979500688</v>
      </c>
    </row>
    <row r="19" spans="1:7" x14ac:dyDescent="0.4">
      <c r="A19" s="157"/>
      <c r="B19" s="25"/>
    </row>
    <row r="20" spans="1:7" x14ac:dyDescent="0.4">
      <c r="A20" s="134" t="s">
        <v>196</v>
      </c>
      <c r="B20" s="79">
        <f>Assumptions!B15</f>
        <v>2.5000000000000001E-2</v>
      </c>
    </row>
    <row r="21" spans="1:7" x14ac:dyDescent="0.4">
      <c r="A21" s="134" t="s">
        <v>317</v>
      </c>
      <c r="B21" s="80">
        <f>Assumptions!B16</f>
        <v>1.7000000000000001E-2</v>
      </c>
      <c r="E21" s="55"/>
      <c r="F21" s="55"/>
      <c r="G21" s="55"/>
    </row>
    <row r="22" spans="1:7" x14ac:dyDescent="0.4">
      <c r="A22" s="134" t="s">
        <v>318</v>
      </c>
      <c r="B22" s="81">
        <f>Forecast!G11</f>
        <v>2470.6409167943484</v>
      </c>
      <c r="E22" s="55"/>
      <c r="F22" s="56"/>
      <c r="G22" s="55"/>
    </row>
    <row r="23" spans="1:7" x14ac:dyDescent="0.4">
      <c r="A23" s="134" t="s">
        <v>319</v>
      </c>
      <c r="B23" s="81">
        <f>Forecast!G13</f>
        <v>750.04277984042153</v>
      </c>
      <c r="E23" s="55"/>
      <c r="F23" s="55"/>
      <c r="G23" s="55"/>
    </row>
    <row r="24" spans="1:7" x14ac:dyDescent="0.4">
      <c r="A24" s="158" t="s">
        <v>320</v>
      </c>
      <c r="B24" s="82">
        <f>Forecast!G6*Valuation!B21</f>
        <v>850.04848381914451</v>
      </c>
      <c r="E24" s="55"/>
      <c r="F24" s="55"/>
      <c r="G24" s="55"/>
    </row>
    <row r="25" spans="1:7" x14ac:dyDescent="0.4">
      <c r="A25" s="134" t="s">
        <v>306</v>
      </c>
      <c r="B25" s="81">
        <f>Forecast!G17</f>
        <v>0</v>
      </c>
      <c r="E25" s="55"/>
      <c r="F25" s="55"/>
      <c r="G25" s="55"/>
    </row>
    <row r="26" spans="1:7" x14ac:dyDescent="0.4">
      <c r="A26" s="127" t="s">
        <v>321</v>
      </c>
      <c r="B26" s="82">
        <f>B22+B23-B24-B25</f>
        <v>2370.6352128156254</v>
      </c>
      <c r="E26" s="55"/>
      <c r="F26" s="56"/>
      <c r="G26" s="55"/>
    </row>
    <row r="27" spans="1:7" x14ac:dyDescent="0.4">
      <c r="A27" s="134"/>
      <c r="B27" s="83"/>
    </row>
    <row r="28" spans="1:7" x14ac:dyDescent="0.4">
      <c r="A28" s="134" t="s">
        <v>310</v>
      </c>
      <c r="B28" s="82">
        <f>B26*(1+B20)/(Valuation!F15-B20)</f>
        <v>41450.480974327518</v>
      </c>
    </row>
    <row r="29" spans="1:7" x14ac:dyDescent="0.4">
      <c r="A29" s="134" t="s">
        <v>308</v>
      </c>
      <c r="B29" s="82" cm="1">
        <f t="array" ref="B29">B28/PRODUCT(1+B15:F15)</f>
        <v>27539.379988175955</v>
      </c>
    </row>
    <row r="30" spans="1:7" x14ac:dyDescent="0.4">
      <c r="A30" s="134" t="s">
        <v>309</v>
      </c>
      <c r="B30" s="82">
        <f>SUM(B18:F18)+B29</f>
        <v>28962.551256480521</v>
      </c>
    </row>
    <row r="31" spans="1:7" x14ac:dyDescent="0.4">
      <c r="A31" s="134" t="s">
        <v>314</v>
      </c>
      <c r="B31" s="84">
        <v>282.5569999999999</v>
      </c>
    </row>
    <row r="32" spans="1:7" x14ac:dyDescent="0.4">
      <c r="A32" s="134" t="s">
        <v>311</v>
      </c>
      <c r="B32" s="82">
        <f>B30-B31</f>
        <v>28679.994256480521</v>
      </c>
    </row>
    <row r="33" spans="1:8" x14ac:dyDescent="0.4">
      <c r="A33" s="134" t="s">
        <v>315</v>
      </c>
      <c r="B33" s="84">
        <v>980400000</v>
      </c>
    </row>
    <row r="34" spans="1:8" x14ac:dyDescent="0.4">
      <c r="A34" s="156" t="s">
        <v>316</v>
      </c>
      <c r="B34" s="85">
        <f>B32*1000000/B33</f>
        <v>29.253360114729215</v>
      </c>
      <c r="C34" s="25"/>
    </row>
    <row r="35" spans="1:8" x14ac:dyDescent="0.4">
      <c r="A35" s="54"/>
    </row>
    <row r="36" spans="1:8" x14ac:dyDescent="0.4">
      <c r="A36" s="54"/>
    </row>
    <row r="37" spans="1:8" x14ac:dyDescent="0.4">
      <c r="A37" s="26" t="s">
        <v>322</v>
      </c>
    </row>
    <row r="38" spans="1:8" ht="24.6" x14ac:dyDescent="0.55000000000000004">
      <c r="A38" s="57"/>
      <c r="B38" s="58" t="s">
        <v>196</v>
      </c>
      <c r="C38" s="58"/>
      <c r="D38" s="58"/>
      <c r="E38" s="58"/>
      <c r="F38" s="58"/>
      <c r="G38" s="58"/>
      <c r="H38" s="59"/>
    </row>
    <row r="39" spans="1:8" ht="12.6" customHeight="1" x14ac:dyDescent="0.4">
      <c r="A39" s="60" t="s">
        <v>295</v>
      </c>
      <c r="B39" s="61">
        <f>B34</f>
        <v>29.253360114729215</v>
      </c>
      <c r="C39" s="39">
        <v>1.4999999999999999E-2</v>
      </c>
      <c r="D39" s="39">
        <v>0.02</v>
      </c>
      <c r="E39" s="39">
        <v>2.5000000000000001E-2</v>
      </c>
      <c r="F39" s="39">
        <v>0.03</v>
      </c>
      <c r="G39" s="39">
        <v>3.5000000000000003E-2</v>
      </c>
      <c r="H39" s="39">
        <v>0.04</v>
      </c>
    </row>
    <row r="40" spans="1:8" x14ac:dyDescent="0.4">
      <c r="A40" s="60"/>
      <c r="B40" s="39">
        <v>7.0000000000000007E-2</v>
      </c>
      <c r="C40" s="67">
        <f t="dataTable" ref="C40:H45" dt2D="1" dtr="1" r1="B20" r2="F15"/>
        <v>31.194654136819629</v>
      </c>
      <c r="D40" s="67">
        <v>34.359853354423223</v>
      </c>
      <c r="E40" s="67">
        <v>38.228430175938691</v>
      </c>
      <c r="F40" s="67">
        <v>43.064151202833045</v>
      </c>
      <c r="G40" s="67">
        <v>49.281506808840064</v>
      </c>
      <c r="H40" s="67">
        <v>57.571314283516088</v>
      </c>
    </row>
    <row r="41" spans="1:8" x14ac:dyDescent="0.4">
      <c r="A41" s="60"/>
      <c r="B41" s="39">
        <v>7.4999999999999997E-2</v>
      </c>
      <c r="C41" s="67">
        <v>28.562255391001614</v>
      </c>
      <c r="D41" s="67">
        <v>31.199921405671265</v>
      </c>
      <c r="E41" s="67">
        <v>34.365120623274841</v>
      </c>
      <c r="F41" s="67">
        <v>38.233697444790316</v>
      </c>
      <c r="G41" s="67">
        <v>43.069418471684671</v>
      </c>
      <c r="H41" s="67">
        <v>49.286774077691696</v>
      </c>
    </row>
    <row r="42" spans="1:8" x14ac:dyDescent="0.4">
      <c r="A42" s="60"/>
      <c r="B42" s="39">
        <v>0.08</v>
      </c>
      <c r="C42" s="67">
        <v>26.335602645663332</v>
      </c>
      <c r="D42" s="67">
        <v>28.567473888845345</v>
      </c>
      <c r="E42" s="67">
        <v>31.205139903514983</v>
      </c>
      <c r="F42" s="67">
        <v>34.370339121118569</v>
      </c>
      <c r="G42" s="67">
        <v>38.238915942634044</v>
      </c>
      <c r="H42" s="67">
        <v>43.074636969528399</v>
      </c>
    </row>
    <row r="43" spans="1:8" x14ac:dyDescent="0.4">
      <c r="A43" s="60"/>
      <c r="B43" s="39">
        <v>8.3599999999999994E-2</v>
      </c>
      <c r="C43" s="67">
        <v>24.933836883110573</v>
      </c>
      <c r="D43" s="67">
        <v>26.928881038548592</v>
      </c>
      <c r="E43" s="67">
        <v>29.264376415051107</v>
      </c>
      <c r="F43" s="67">
        <v>32.035598540901113</v>
      </c>
      <c r="G43" s="67">
        <v>35.377030980712021</v>
      </c>
      <c r="H43" s="67">
        <v>39.484847007635537</v>
      </c>
    </row>
    <row r="44" spans="1:8" x14ac:dyDescent="0.4">
      <c r="A44" s="60"/>
      <c r="B44" s="39">
        <v>0.09</v>
      </c>
      <c r="C44" s="67">
        <v>22.774902023878568</v>
      </c>
      <c r="D44" s="67">
        <v>24.432863518813779</v>
      </c>
      <c r="E44" s="67">
        <v>26.345896012969778</v>
      </c>
      <c r="F44" s="67">
        <v>28.577767256151791</v>
      </c>
      <c r="G44" s="67">
        <v>31.215433270821435</v>
      </c>
      <c r="H44" s="67">
        <v>34.380632488425015</v>
      </c>
    </row>
    <row r="45" spans="1:8" ht="17.399999999999999" customHeight="1" x14ac:dyDescent="0.4">
      <c r="A45" s="60"/>
      <c r="B45" s="39">
        <v>9.5000000000000001E-2</v>
      </c>
      <c r="C45" s="67">
        <v>21.329261896947688</v>
      </c>
      <c r="D45" s="67">
        <v>22.779978205016</v>
      </c>
      <c r="E45" s="67">
        <v>24.437939699951198</v>
      </c>
      <c r="F45" s="67">
        <v>26.350972194107207</v>
      </c>
      <c r="G45" s="67">
        <v>28.582843437289213</v>
      </c>
      <c r="H45" s="67">
        <v>31.220509451958865</v>
      </c>
    </row>
    <row r="46" spans="1:8" ht="15" customHeight="1" x14ac:dyDescent="0.4">
      <c r="A46" s="54"/>
    </row>
    <row r="47" spans="1:8" x14ac:dyDescent="0.4">
      <c r="A47" s="54"/>
    </row>
    <row r="48" spans="1:8" x14ac:dyDescent="0.4">
      <c r="A48" s="54" t="s">
        <v>346</v>
      </c>
    </row>
    <row r="49" spans="1:6" x14ac:dyDescent="0.4">
      <c r="A49" s="62">
        <v>46069</v>
      </c>
      <c r="B49" s="62">
        <v>46387</v>
      </c>
      <c r="C49" s="62">
        <v>46752</v>
      </c>
      <c r="D49" s="62">
        <v>47118</v>
      </c>
      <c r="E49" s="62">
        <v>47483</v>
      </c>
      <c r="F49" s="62">
        <v>47848</v>
      </c>
    </row>
    <row r="50" spans="1:6" x14ac:dyDescent="0.4">
      <c r="A50" s="23">
        <f>-B2</f>
        <v>-39.630000000000003</v>
      </c>
      <c r="B50" s="23">
        <f>B17*1000000/$B$33</f>
        <v>0.12424341953488358</v>
      </c>
      <c r="C50" s="23">
        <f>C17*1000000/$B$33</f>
        <v>0.26263084610679061</v>
      </c>
      <c r="D50" s="23">
        <f>D17*1000000/$B$33</f>
        <v>0.35191381488634016</v>
      </c>
      <c r="E50" s="23">
        <f>E17*1000000/$B$33</f>
        <v>0.48979339068741079</v>
      </c>
      <c r="F50" s="23">
        <f>(F17+B28)*1000000/B33</f>
        <v>43.014098400136902</v>
      </c>
    </row>
    <row r="51" spans="1:6" x14ac:dyDescent="0.4">
      <c r="A51" s="159" t="s">
        <v>325</v>
      </c>
      <c r="B51" s="63">
        <f>XIRR(A50:F50,A49:F49)</f>
        <v>2.3123845458030708E-2</v>
      </c>
    </row>
  </sheetData>
  <sheetProtection sheet="1" objects="1" scenarios="1"/>
  <mergeCells count="4">
    <mergeCell ref="C2:F7"/>
    <mergeCell ref="B38:G38"/>
    <mergeCell ref="A39:A45"/>
    <mergeCell ref="G12:H14"/>
  </mergeCells>
  <conditionalFormatting sqref="C40:H4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num" val="&quot;$B$1&quot;"/>
        <cfvo type="num" val="$B$2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1B2F32-916A-4074-B032-343A3D29C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Nazwane zakresy</vt:lpstr>
      </vt:variant>
      <vt:variant>
        <vt:i4>1</vt:i4>
      </vt:variant>
    </vt:vector>
  </HeadingPairs>
  <TitlesOfParts>
    <vt:vector size="12" baseType="lpstr">
      <vt:lpstr>NWC</vt:lpstr>
      <vt:lpstr>CF</vt:lpstr>
      <vt:lpstr>ETR</vt:lpstr>
      <vt:lpstr>RZiS</vt:lpstr>
      <vt:lpstr>RZIS_2</vt:lpstr>
      <vt:lpstr>Kd</vt:lpstr>
      <vt:lpstr>Summary</vt:lpstr>
      <vt:lpstr>Historicals</vt:lpstr>
      <vt:lpstr>Assumptions</vt:lpstr>
      <vt:lpstr>Forecast</vt:lpstr>
      <vt:lpstr>Valuation</vt:lpstr>
      <vt:lpstr>Historicals!Obszar_wydruku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Kmita</dc:creator>
  <cp:lastModifiedBy>Karol Kmita</cp:lastModifiedBy>
  <dcterms:created xsi:type="dcterms:W3CDTF">2026-02-13T10:47:41Z</dcterms:created>
  <dcterms:modified xsi:type="dcterms:W3CDTF">2026-02-17T15:41:43Z</dcterms:modified>
</cp:coreProperties>
</file>